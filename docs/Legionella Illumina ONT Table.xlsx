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\\ihelse.net\medisinteknisk\MiSeq_HST\Anne\mompS\Manuskript\Submission\Proof\"/>
    </mc:Choice>
  </mc:AlternateContent>
  <xr:revisionPtr revIDLastSave="0" documentId="13_ncr:1_{E5AC3D9A-EC98-4ACD-9EEA-6033F1C41314}" xr6:coauthVersionLast="47" xr6:coauthVersionMax="47" xr10:uidLastSave="{00000000-0000-0000-0000-000000000000}"/>
  <bookViews>
    <workbookView xWindow="1200" yWindow="1950" windowWidth="27600" windowHeight="15300" xr2:uid="{00000000-000D-0000-FFFF-FFFF00000000}"/>
  </bookViews>
  <sheets>
    <sheet name="Table_S1" sheetId="2" r:id="rId1"/>
    <sheet name="Table_S2" sheetId="5" r:id="rId2"/>
    <sheet name="Table_S3" sheetId="3" r:id="rId3"/>
  </sheets>
  <definedNames>
    <definedName name="_xlnm.Print_Area" localSheetId="2">Table_S3!$A$2:$U$41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9" i="2" l="1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</calcChain>
</file>

<file path=xl/sharedStrings.xml><?xml version="1.0" encoding="utf-8"?>
<sst xmlns="http://schemas.openxmlformats.org/spreadsheetml/2006/main" count="1489" uniqueCount="505">
  <si>
    <t>SBT calls</t>
  </si>
  <si>
    <t>Genome QC</t>
  </si>
  <si>
    <t>Sequencing details</t>
  </si>
  <si>
    <t>Year</t>
  </si>
  <si>
    <t>Source</t>
  </si>
  <si>
    <t>Basecalling</t>
  </si>
  <si>
    <t>BioProject</t>
  </si>
  <si>
    <t>001</t>
  </si>
  <si>
    <t>Environmental</t>
  </si>
  <si>
    <t>not determined (- mompS)</t>
  </si>
  <si>
    <t>38.23</t>
  </si>
  <si>
    <t>FLEX</t>
  </si>
  <si>
    <t>V3- 600 cycles, 2x300 paired-end</t>
  </si>
  <si>
    <t>101.743</t>
  </si>
  <si>
    <t>Unicycler v0.5.0 with SPAdes v3.15.5, trimgalore0.6.7</t>
  </si>
  <si>
    <t>R.10.4</t>
  </si>
  <si>
    <t>guppy v6.4.2 +97a7f06 with sup basecalling (config file: dna_r10.4_e8.1_sup.cfg, barcode kit: SQK-NBD112-24), minimap2 version2.24-r1122</t>
  </si>
  <si>
    <t>Trycycler v0.5.3 (with filtlong v0.2.1, Flye v2.9-b1768, Raven v1.8.1, Miniasm v0.3-r179, Minipolish v0.1.3) + Medaka v1.7.2</t>
  </si>
  <si>
    <t>Trycycler v0.5.3 (with filtlong v0.2.1, Flye v2.9-b1768, Raven v1.8.1, Miniasm v0.3-r179, Minipolish v0.1.3) + Medaka v1.7.2 + Polypolish (v0.5.0) + POLCA (v4.0.5)</t>
  </si>
  <si>
    <t>PRJEB58776</t>
  </si>
  <si>
    <t>SAMEA112634560</t>
  </si>
  <si>
    <t>ERR10879100</t>
  </si>
  <si>
    <t>ERR10879072</t>
  </si>
  <si>
    <t>002</t>
  </si>
  <si>
    <t>Human</t>
  </si>
  <si>
    <t>38.24</t>
  </si>
  <si>
    <t>V2-500 cycles, 2x250 bp piared end</t>
  </si>
  <si>
    <t>66.6676</t>
  </si>
  <si>
    <t>SAMEA112634549</t>
  </si>
  <si>
    <t>ERR10879101</t>
  </si>
  <si>
    <t>ERR10879073</t>
  </si>
  <si>
    <t>003</t>
  </si>
  <si>
    <t>Environmental, SLP</t>
  </si>
  <si>
    <t>38.25</t>
  </si>
  <si>
    <t>R.9.4.1</t>
  </si>
  <si>
    <t>guppy v5.1.13 with sup basecalling, barcode kit: SQK-LSK109</t>
  </si>
  <si>
    <t>SAMEA112634555</t>
  </si>
  <si>
    <t>ERR10879102</t>
  </si>
  <si>
    <t>ERR10879074</t>
  </si>
  <si>
    <t>004</t>
  </si>
  <si>
    <t>Human, EQA</t>
  </si>
  <si>
    <t>51.8002</t>
  </si>
  <si>
    <t>SAMEA112634547</t>
  </si>
  <si>
    <t>ERR10879103</t>
  </si>
  <si>
    <t>ERR10879075</t>
  </si>
  <si>
    <t>005</t>
  </si>
  <si>
    <t>38.29</t>
  </si>
  <si>
    <t>81.1948</t>
  </si>
  <si>
    <t>SAMEA112634557</t>
  </si>
  <si>
    <t>ERR10879104</t>
  </si>
  <si>
    <t>ERR10879076</t>
  </si>
  <si>
    <t>006</t>
  </si>
  <si>
    <t>87.5999</t>
  </si>
  <si>
    <t>SAMEA112634561</t>
  </si>
  <si>
    <t>ERR10879105</t>
  </si>
  <si>
    <t>ERR10879077</t>
  </si>
  <si>
    <t>007</t>
  </si>
  <si>
    <t>Environmental, EQA</t>
  </si>
  <si>
    <t>123.061</t>
  </si>
  <si>
    <t>SAMEA112634546</t>
  </si>
  <si>
    <t>ERR10879106</t>
  </si>
  <si>
    <t>ERR10879078</t>
  </si>
  <si>
    <t>008</t>
  </si>
  <si>
    <t>38.26</t>
  </si>
  <si>
    <t>34.3985</t>
  </si>
  <si>
    <t>SAMEA112634563</t>
  </si>
  <si>
    <t>ERR10879107</t>
  </si>
  <si>
    <t>ERR10879079</t>
  </si>
  <si>
    <t>SUH_H3_1_LEGSURV</t>
  </si>
  <si>
    <t>?</t>
  </si>
  <si>
    <t>38.27</t>
  </si>
  <si>
    <t>XT</t>
  </si>
  <si>
    <t>32.9779</t>
  </si>
  <si>
    <t>PRJEB50383</t>
  </si>
  <si>
    <t>SAMEA12579717</t>
  </si>
  <si>
    <t>ERR8122856</t>
  </si>
  <si>
    <t>SUH_H4_2_LEGSURV</t>
  </si>
  <si>
    <t>38.17</t>
  </si>
  <si>
    <t>166.802</t>
  </si>
  <si>
    <t>SAMEA12579719</t>
  </si>
  <si>
    <t>ERR8122858</t>
  </si>
  <si>
    <t>SUH_S5_2_LEGSURV</t>
  </si>
  <si>
    <t>V2 micro, 300 cycles, 2x150 bp piared end</t>
  </si>
  <si>
    <t>76.6971</t>
  </si>
  <si>
    <t>SAMEA12579738</t>
  </si>
  <si>
    <t>ERR8122877</t>
  </si>
  <si>
    <t>ERR10879099</t>
  </si>
  <si>
    <t>SUH_S4_2_LEGSURV</t>
  </si>
  <si>
    <t>38.18</t>
  </si>
  <si>
    <t>86.9394</t>
  </si>
  <si>
    <t>SAMEA12579736</t>
  </si>
  <si>
    <t>ERR8122875</t>
  </si>
  <si>
    <t>009</t>
  </si>
  <si>
    <t>Clinical</t>
  </si>
  <si>
    <t>47.1901</t>
  </si>
  <si>
    <t>SAMEA112634545</t>
  </si>
  <si>
    <t>ERR10879108</t>
  </si>
  <si>
    <t>ERR10879080</t>
  </si>
  <si>
    <t>010</t>
  </si>
  <si>
    <t>38.2</t>
  </si>
  <si>
    <t>127.34</t>
  </si>
  <si>
    <t>SAMEA112634550</t>
  </si>
  <si>
    <t>ERR10879109</t>
  </si>
  <si>
    <t>ERR10879081</t>
  </si>
  <si>
    <t>011</t>
  </si>
  <si>
    <t>38.19</t>
  </si>
  <si>
    <t>43.2698</t>
  </si>
  <si>
    <t>SAMEA112634544</t>
  </si>
  <si>
    <t>ERR10879110</t>
  </si>
  <si>
    <t>ERR10879082</t>
  </si>
  <si>
    <t>SUH_H5_2_LEGSURV</t>
  </si>
  <si>
    <t>186.04</t>
  </si>
  <si>
    <t>SAMEA12579721</t>
  </si>
  <si>
    <t>ERR8122860</t>
  </si>
  <si>
    <t>SUH_SC5_1_LEGSURV</t>
  </si>
  <si>
    <t>157.043</t>
  </si>
  <si>
    <t>SAMEA12579752</t>
  </si>
  <si>
    <t>ERR8122891</t>
  </si>
  <si>
    <t>SUH_O1_1_LEGSURV</t>
  </si>
  <si>
    <t>143.857</t>
  </si>
  <si>
    <t>SAMEA12579725</t>
  </si>
  <si>
    <t>ERR8122864</t>
  </si>
  <si>
    <t>SUH_SC7_1_LEGSURV</t>
  </si>
  <si>
    <t>212.76</t>
  </si>
  <si>
    <t>SAMEA12579755</t>
  </si>
  <si>
    <t>ERR8122894</t>
  </si>
  <si>
    <t>012</t>
  </si>
  <si>
    <t>38.21</t>
  </si>
  <si>
    <t>65.1656</t>
  </si>
  <si>
    <t>SAMEA112634539</t>
  </si>
  <si>
    <t>ERR10879111</t>
  </si>
  <si>
    <t>ERR10879083</t>
  </si>
  <si>
    <t>013</t>
  </si>
  <si>
    <t>189.557</t>
  </si>
  <si>
    <t>SAMEA112634543</t>
  </si>
  <si>
    <t>ERR10879112</t>
  </si>
  <si>
    <t>ERR10879084</t>
  </si>
  <si>
    <t>014</t>
  </si>
  <si>
    <t>38.33</t>
  </si>
  <si>
    <t>99.7771</t>
  </si>
  <si>
    <t>SAMEA112634564</t>
  </si>
  <si>
    <t>ERR10879113</t>
  </si>
  <si>
    <t>ERR10879085</t>
  </si>
  <si>
    <t>015</t>
  </si>
  <si>
    <t>Enviromental</t>
  </si>
  <si>
    <t>130.986</t>
  </si>
  <si>
    <t>SAMEA112634556</t>
  </si>
  <si>
    <t>ERR10879114</t>
  </si>
  <si>
    <t>ERR10879086</t>
  </si>
  <si>
    <t>016</t>
  </si>
  <si>
    <t>not determined (- NeuA)</t>
  </si>
  <si>
    <t>37.65</t>
  </si>
  <si>
    <t>69.8917</t>
  </si>
  <si>
    <t>SAMEA112634538</t>
  </si>
  <si>
    <t>ERR10879115</t>
  </si>
  <si>
    <t>ERR10879087</t>
  </si>
  <si>
    <t>017</t>
  </si>
  <si>
    <t>38.14</t>
  </si>
  <si>
    <t>80.6862</t>
  </si>
  <si>
    <t>SAMEA112634541</t>
  </si>
  <si>
    <t>ERR10879116</t>
  </si>
  <si>
    <t>ERR10879088</t>
  </si>
  <si>
    <t>018</t>
  </si>
  <si>
    <t>80.712</t>
  </si>
  <si>
    <t>SAMEA112634551</t>
  </si>
  <si>
    <t>ERR10879117</t>
  </si>
  <si>
    <t>ERR10879089</t>
  </si>
  <si>
    <t>019</t>
  </si>
  <si>
    <t>55.5819</t>
  </si>
  <si>
    <t>SAMEA112634542</t>
  </si>
  <si>
    <t>ERR10879118</t>
  </si>
  <si>
    <t>ERR10879090</t>
  </si>
  <si>
    <t>020</t>
  </si>
  <si>
    <t>38.35</t>
  </si>
  <si>
    <t>113.454</t>
  </si>
  <si>
    <t>SAMEA112634554</t>
  </si>
  <si>
    <t>ERR10879119</t>
  </si>
  <si>
    <t>ERR10879091</t>
  </si>
  <si>
    <t>021</t>
  </si>
  <si>
    <t>91.515</t>
  </si>
  <si>
    <t>SAMEA112634553</t>
  </si>
  <si>
    <t>ERR10879120</t>
  </si>
  <si>
    <t>ERR10879092</t>
  </si>
  <si>
    <t>022</t>
  </si>
  <si>
    <t>38.28</t>
  </si>
  <si>
    <t>74.5337</t>
  </si>
  <si>
    <t>SAMEA112634548</t>
  </si>
  <si>
    <t>ERR10879121</t>
  </si>
  <si>
    <t>ERR10879093</t>
  </si>
  <si>
    <t>023</t>
  </si>
  <si>
    <t>157.27</t>
  </si>
  <si>
    <t>SAMEA112634552</t>
  </si>
  <si>
    <t>ERR10879122</t>
  </si>
  <si>
    <t>ERR10879094</t>
  </si>
  <si>
    <t>024</t>
  </si>
  <si>
    <t>86.551</t>
  </si>
  <si>
    <t>SAMEA112634540</t>
  </si>
  <si>
    <t>ERR10879123</t>
  </si>
  <si>
    <t>ERR10879095</t>
  </si>
  <si>
    <t>025</t>
  </si>
  <si>
    <t>38.11</t>
  </si>
  <si>
    <t>70.2226</t>
  </si>
  <si>
    <t>SAMEA112634559</t>
  </si>
  <si>
    <t>ERR10879124</t>
  </si>
  <si>
    <t>ERR10879096</t>
  </si>
  <si>
    <t>026</t>
  </si>
  <si>
    <t>not determined (- proA)</t>
  </si>
  <si>
    <t>92.0285</t>
  </si>
  <si>
    <t>SAMEA112634558</t>
  </si>
  <si>
    <t>ERR10879125</t>
  </si>
  <si>
    <t>ERR10879097</t>
  </si>
  <si>
    <t>027</t>
  </si>
  <si>
    <t>78.7974</t>
  </si>
  <si>
    <t>SAMEA112634562</t>
  </si>
  <si>
    <t>ERR10879126</t>
  </si>
  <si>
    <t>ERR10879098</t>
  </si>
  <si>
    <t>Sanger</t>
  </si>
  <si>
    <t>Unicycler v0.5.0
SPAdes v3.15.5</t>
  </si>
  <si>
    <t>SPAdes v3.15.5</t>
  </si>
  <si>
    <t>Unicycler v0.4.8
SPAdes v3.13.0</t>
  </si>
  <si>
    <t>SPAdes v3.13.0</t>
  </si>
  <si>
    <t xml:space="preserve">Unicycler v0.4.8
No pilon
SPAdes v3.13.0
</t>
  </si>
  <si>
    <t>Unicycler v0.5.0
SPAdes v3.13.0</t>
  </si>
  <si>
    <t xml:space="preserve">SKESA
v2.4.0
</t>
  </si>
  <si>
    <t>Isolate</t>
  </si>
  <si>
    <t>ST</t>
  </si>
  <si>
    <t>mompS1/mompS2</t>
  </si>
  <si>
    <t>Colour codes/Explanation</t>
  </si>
  <si>
    <t>-</t>
  </si>
  <si>
    <t>1/-</t>
  </si>
  <si>
    <t>1/1</t>
  </si>
  <si>
    <t>-/-</t>
  </si>
  <si>
    <t>3/26</t>
  </si>
  <si>
    <t>3/3</t>
  </si>
  <si>
    <t>154-1LV</t>
  </si>
  <si>
    <t>93/2</t>
  </si>
  <si>
    <t>93/93</t>
  </si>
  <si>
    <t>33/18</t>
  </si>
  <si>
    <t>33/33</t>
  </si>
  <si>
    <t>14/14</t>
  </si>
  <si>
    <t>18/18</t>
  </si>
  <si>
    <t>7/7</t>
  </si>
  <si>
    <t>7/7/7</t>
  </si>
  <si>
    <t>7/15-1LV</t>
  </si>
  <si>
    <t>7/15</t>
  </si>
  <si>
    <t>15/15</t>
  </si>
  <si>
    <t>-/18</t>
  </si>
  <si>
    <t>63/18</t>
  </si>
  <si>
    <t>78/19</t>
  </si>
  <si>
    <t>19/19</t>
  </si>
  <si>
    <t>574-1LV</t>
  </si>
  <si>
    <t>15/15/15</t>
  </si>
  <si>
    <t>55/55</t>
  </si>
  <si>
    <t>6/6</t>
  </si>
  <si>
    <t>-/6</t>
  </si>
  <si>
    <t>46/46</t>
  </si>
  <si>
    <t>13/13</t>
  </si>
  <si>
    <t>-/1</t>
  </si>
  <si>
    <t>9/9</t>
  </si>
  <si>
    <t>-/9</t>
  </si>
  <si>
    <t>12/12</t>
  </si>
  <si>
    <t>?/2</t>
  </si>
  <si>
    <t>63/2</t>
  </si>
  <si>
    <t>2/2</t>
  </si>
  <si>
    <t>41/41</t>
  </si>
  <si>
    <t>Sanger/EQA</t>
  </si>
  <si>
    <t>Illumina</t>
  </si>
  <si>
    <t>ONTmompS</t>
  </si>
  <si>
    <t>pilE</t>
  </si>
  <si>
    <t>asd</t>
  </si>
  <si>
    <t>mip</t>
  </si>
  <si>
    <t>mompS</t>
  </si>
  <si>
    <t>proA</t>
  </si>
  <si>
    <t>SUH_LEG_028</t>
  </si>
  <si>
    <t>SUH_LEG_029</t>
  </si>
  <si>
    <t>SUH_LEG_030</t>
  </si>
  <si>
    <t>Environmental/EQA</t>
  </si>
  <si>
    <t>SUH_LEG_031</t>
  </si>
  <si>
    <t>SUH_LEG_032</t>
  </si>
  <si>
    <t>SUH_LEG_033</t>
  </si>
  <si>
    <t>SUH_LEG_034</t>
  </si>
  <si>
    <t>SUH_LEG_035</t>
  </si>
  <si>
    <t>SUH_LEG_036</t>
  </si>
  <si>
    <t>SUH_LEG_037</t>
  </si>
  <si>
    <t>SUH_LEG_038</t>
  </si>
  <si>
    <t>SUH_LEG_039</t>
  </si>
  <si>
    <t>SUH_LEG_040</t>
  </si>
  <si>
    <t>SUH_LEG_041</t>
  </si>
  <si>
    <t>SUH_LEG_042</t>
  </si>
  <si>
    <t>SUH_LEG_043</t>
  </si>
  <si>
    <t>SUH_LEG_044</t>
  </si>
  <si>
    <t>SUH_LEG_045</t>
  </si>
  <si>
    <t>SUH_LEG_046</t>
  </si>
  <si>
    <t>SUH_LEG_047</t>
  </si>
  <si>
    <t>SUH_LEG_048</t>
  </si>
  <si>
    <t>SUH_LEG_049</t>
  </si>
  <si>
    <t>SUH_LEG_050</t>
  </si>
  <si>
    <t>SUH_LEG_051</t>
  </si>
  <si>
    <t>SUH_LEG_052</t>
  </si>
  <si>
    <t>SUH_LEG_053</t>
  </si>
  <si>
    <t>SUH_LEG_054</t>
  </si>
  <si>
    <t>SUH_LEG_055</t>
  </si>
  <si>
    <t>SUH_LEG_056</t>
  </si>
  <si>
    <t>SUH_LEG_057</t>
  </si>
  <si>
    <t>SUH_LEG_058</t>
  </si>
  <si>
    <t>SUH_LEG_059</t>
  </si>
  <si>
    <t>SUH_LEG_060</t>
  </si>
  <si>
    <t>SUH_LEG_061</t>
  </si>
  <si>
    <t>SUH_LEG_062</t>
  </si>
  <si>
    <t>SUH_LEG_063</t>
  </si>
  <si>
    <t>SUH_LEG_064</t>
  </si>
  <si>
    <t>SUH_LEG_065</t>
  </si>
  <si>
    <t>SUH_LEG_066</t>
  </si>
  <si>
    <t>SUH_LEG_067</t>
  </si>
  <si>
    <t>SUH_LEG_068</t>
  </si>
  <si>
    <t>SUH_LEG_069</t>
  </si>
  <si>
    <t>SUH_LEG_070</t>
  </si>
  <si>
    <t>SUH_LEG_071</t>
  </si>
  <si>
    <t>SUH_LEG_072</t>
  </si>
  <si>
    <t>SUH_LEG_073</t>
  </si>
  <si>
    <t>Human/EQA</t>
  </si>
  <si>
    <t>-/2</t>
  </si>
  <si>
    <t>-/14</t>
  </si>
  <si>
    <t>-/18 – proA and NeuA</t>
  </si>
  <si>
    <t>Ligation, SQK-LSK109</t>
  </si>
  <si>
    <t>Ligation, SQK-LSK112</t>
  </si>
  <si>
    <t>55*/55</t>
  </si>
  <si>
    <t>46*/46</t>
  </si>
  <si>
    <t>55*/55*</t>
  </si>
  <si>
    <t>9*/21</t>
  </si>
  <si>
    <t>-/1 or 1/-</t>
  </si>
  <si>
    <t>9*/9*</t>
  </si>
  <si>
    <t>41*/41*</t>
  </si>
  <si>
    <t>63*/63*</t>
  </si>
  <si>
    <t>63*/2</t>
  </si>
  <si>
    <t>41*/41</t>
  </si>
  <si>
    <t>93/-</t>
  </si>
  <si>
    <t>31?/-</t>
  </si>
  <si>
    <t>33?/-</t>
  </si>
  <si>
    <t>14/-</t>
  </si>
  <si>
    <t>78?/-</t>
  </si>
  <si>
    <t>103?/-</t>
  </si>
  <si>
    <t>13/-</t>
  </si>
  <si>
    <t>9/-</t>
  </si>
  <si>
    <t>-/12</t>
  </si>
  <si>
    <t>41?/-</t>
  </si>
  <si>
    <t>incorrect ST or untypeable</t>
  </si>
  <si>
    <t>2*/2*</t>
  </si>
  <si>
    <t>18/-</t>
  </si>
  <si>
    <t>103/103*</t>
  </si>
  <si>
    <t>not determined (2110-1LV, proA_4*)</t>
  </si>
  <si>
    <t>not determined (154-1LV, momps_15* alignment length 353 (1 nt extra))</t>
  </si>
  <si>
    <t>not determined (1-1LV, neuA_1*)</t>
  </si>
  <si>
    <t>not determined (2454-1LV, neuA*, 1 gapopen)</t>
  </si>
  <si>
    <t>Genome acessions</t>
  </si>
  <si>
    <t>SAMEA112692640</t>
  </si>
  <si>
    <t>ERR10938973</t>
  </si>
  <si>
    <t>SAMEA112692641</t>
  </si>
  <si>
    <t>ERR10938974</t>
  </si>
  <si>
    <t>SAMEA112692642</t>
  </si>
  <si>
    <t>ERR10938975</t>
  </si>
  <si>
    <t>SAMEA112692643</t>
  </si>
  <si>
    <t>ERR10938976</t>
  </si>
  <si>
    <t>SAMEA112692644</t>
  </si>
  <si>
    <t>ERR10938977</t>
  </si>
  <si>
    <t>SAMEA112692645</t>
  </si>
  <si>
    <t>ERR10938978</t>
  </si>
  <si>
    <t>SAMEA112692646</t>
  </si>
  <si>
    <t>ERR10938979</t>
  </si>
  <si>
    <t>SAMEA112692647</t>
  </si>
  <si>
    <t>ERR10938980</t>
  </si>
  <si>
    <t>SAMEA112692648</t>
  </si>
  <si>
    <t>ERR10938981</t>
  </si>
  <si>
    <t>SAMEA112692649</t>
  </si>
  <si>
    <t>ERR10938982</t>
  </si>
  <si>
    <t>SAMEA112692650</t>
  </si>
  <si>
    <t>ERR10938983</t>
  </si>
  <si>
    <t>SAMEA112692651</t>
  </si>
  <si>
    <t>ERR10938984</t>
  </si>
  <si>
    <t>SAMEA112692652</t>
  </si>
  <si>
    <t>ERR10938985</t>
  </si>
  <si>
    <t>SAMEA112692653</t>
  </si>
  <si>
    <t>ERR10938986</t>
  </si>
  <si>
    <t>SAMEA112692654</t>
  </si>
  <si>
    <t>ERR10938987</t>
  </si>
  <si>
    <t>SAMEA112692655</t>
  </si>
  <si>
    <t>ERR10938988</t>
  </si>
  <si>
    <t>SAMEA112692656</t>
  </si>
  <si>
    <t>ERR10938989</t>
  </si>
  <si>
    <t>SAMEA112692657</t>
  </si>
  <si>
    <t>ERR10938990</t>
  </si>
  <si>
    <t>SAMEA112692658</t>
  </si>
  <si>
    <t>ERR10938991</t>
  </si>
  <si>
    <t>SAMEA112692659</t>
  </si>
  <si>
    <t>ERR10938992</t>
  </si>
  <si>
    <t>SAMEA112692660</t>
  </si>
  <si>
    <t>ERR10938993</t>
  </si>
  <si>
    <t>SAMEA112692661</t>
  </si>
  <si>
    <t>ERR10938994</t>
  </si>
  <si>
    <t>SAMEA112692662</t>
  </si>
  <si>
    <t>ERR10938995</t>
  </si>
  <si>
    <t>SAMEA112692663</t>
  </si>
  <si>
    <t>ERR10938996</t>
  </si>
  <si>
    <t>SAMEA112692664</t>
  </si>
  <si>
    <t>ERR10938997</t>
  </si>
  <si>
    <t>SAMEA112692665</t>
  </si>
  <si>
    <t>ERR10938998</t>
  </si>
  <si>
    <t>SAMEA112692666</t>
  </si>
  <si>
    <t>ERR10938999</t>
  </si>
  <si>
    <t>SAMEA112692667</t>
  </si>
  <si>
    <t>ERR10939000</t>
  </si>
  <si>
    <t>SAMEA112692668</t>
  </si>
  <si>
    <t>ERR10939001</t>
  </si>
  <si>
    <t>SAMEA112692669</t>
  </si>
  <si>
    <t>ERR10939002</t>
  </si>
  <si>
    <t>SAMEA112692670</t>
  </si>
  <si>
    <t>ERR10939003</t>
  </si>
  <si>
    <t>SAMEA112692671</t>
  </si>
  <si>
    <t>ERR10939004</t>
  </si>
  <si>
    <t>SAMEA112692672</t>
  </si>
  <si>
    <t>ERR10939005</t>
  </si>
  <si>
    <t>SAMEA112692673</t>
  </si>
  <si>
    <t>ERR10939006</t>
  </si>
  <si>
    <t>SAMEA112692674</t>
  </si>
  <si>
    <t>ERR10939007</t>
  </si>
  <si>
    <t>SAMEA112692675</t>
  </si>
  <si>
    <t>ERR10939008</t>
  </si>
  <si>
    <t>SAMEA112692676</t>
  </si>
  <si>
    <t>ERR10939009</t>
  </si>
  <si>
    <t>SAMEA112692677</t>
  </si>
  <si>
    <t>ERR10939010</t>
  </si>
  <si>
    <t>SAMEA112692678</t>
  </si>
  <si>
    <t>ERR10939011</t>
  </si>
  <si>
    <t>SAMEA112692679</t>
  </si>
  <si>
    <t>ERR10939012</t>
  </si>
  <si>
    <t>SAMEA112692680</t>
  </si>
  <si>
    <t>ERR10939013</t>
  </si>
  <si>
    <t>SAMEA112692681</t>
  </si>
  <si>
    <t>ERR10939014</t>
  </si>
  <si>
    <t>SAMEA112692682</t>
  </si>
  <si>
    <t>ERR10939015</t>
  </si>
  <si>
    <t>SAMEA112692683</t>
  </si>
  <si>
    <t>ERR10939016</t>
  </si>
  <si>
    <t>SAMEA112692684</t>
  </si>
  <si>
    <t>ERR10939017</t>
  </si>
  <si>
    <t>SAMEA112692685</t>
  </si>
  <si>
    <t>ERR10939018</t>
  </si>
  <si>
    <t>BioSample</t>
  </si>
  <si>
    <t>Genome accession</t>
  </si>
  <si>
    <t>ERR10938966</t>
  </si>
  <si>
    <t>ERR10938967</t>
  </si>
  <si>
    <t>ERR10938968</t>
  </si>
  <si>
    <t>ERR10938969</t>
  </si>
  <si>
    <t>ERR10938970</t>
  </si>
  <si>
    <t>ERR10938971</t>
  </si>
  <si>
    <t>ERR10938972</t>
  </si>
  <si>
    <t>10*/1</t>
  </si>
  <si>
    <t>14*/14</t>
  </si>
  <si>
    <t>R10.4</t>
  </si>
  <si>
    <t>R9.4.1</t>
  </si>
  <si>
    <t>ONT Flow cell</t>
  </si>
  <si>
    <t>flaA</t>
  </si>
  <si>
    <t>neuA</t>
  </si>
  <si>
    <t>typeable  ST</t>
  </si>
  <si>
    <r>
      <t xml:space="preserve">Table 3. Results of </t>
    </r>
    <r>
      <rPr>
        <b/>
        <i/>
        <sz val="12"/>
        <color rgb="FF000000"/>
        <rFont val="Calibri"/>
        <family val="2"/>
        <scheme val="minor"/>
      </rPr>
      <t>Legionella pneumophila</t>
    </r>
    <r>
      <rPr>
        <b/>
        <sz val="12"/>
        <color rgb="FF000000"/>
        <rFont val="Calibri"/>
        <family val="2"/>
        <scheme val="minor"/>
      </rPr>
      <t xml:space="preserve"> SBT and determination of </t>
    </r>
    <r>
      <rPr>
        <b/>
        <i/>
        <sz val="12"/>
        <color rgb="FF000000"/>
        <rFont val="Calibri"/>
        <family val="2"/>
        <scheme val="minor"/>
      </rPr>
      <t>mompS1</t>
    </r>
    <r>
      <rPr>
        <b/>
        <sz val="12"/>
        <color rgb="FF000000"/>
        <rFont val="Calibri"/>
        <family val="2"/>
        <scheme val="minor"/>
      </rPr>
      <t xml:space="preserve"> and </t>
    </r>
    <r>
      <rPr>
        <b/>
        <i/>
        <sz val="12"/>
        <color rgb="FF000000"/>
        <rFont val="Calibri"/>
        <family val="2"/>
        <scheme val="minor"/>
      </rPr>
      <t>mompS2</t>
    </r>
    <r>
      <rPr>
        <b/>
        <sz val="12"/>
        <color rgb="FF000000"/>
        <rFont val="Calibri"/>
        <family val="2"/>
        <scheme val="minor"/>
      </rPr>
      <t xml:space="preserve"> alleles using different short-read assembly methods.</t>
    </r>
  </si>
  <si>
    <r>
      <t xml:space="preserve">Table S2. Result of </t>
    </r>
    <r>
      <rPr>
        <b/>
        <i/>
        <sz val="12"/>
        <color rgb="FF000000"/>
        <rFont val="Calibri"/>
        <family val="2"/>
      </rPr>
      <t>in silico Legionella pneumophila</t>
    </r>
    <r>
      <rPr>
        <b/>
        <sz val="12"/>
        <color rgb="FF000000"/>
        <rFont val="Calibri"/>
        <family val="2"/>
      </rPr>
      <t xml:space="preserve"> SBT using ONTmompS. </t>
    </r>
    <r>
      <rPr>
        <sz val="12"/>
        <color rgb="FF000000"/>
        <rFont val="Calibri"/>
        <family val="2"/>
      </rPr>
      <t xml:space="preserve">ONTmompS  was validated using a dataset of long-read sequenced </t>
    </r>
    <r>
      <rPr>
        <i/>
        <sz val="12"/>
        <color rgb="FF000000"/>
        <rFont val="Calibri"/>
        <family val="2"/>
      </rPr>
      <t>L. pneumophila</t>
    </r>
    <r>
      <rPr>
        <sz val="12"/>
        <color rgb="FF000000"/>
        <rFont val="Calibri"/>
        <family val="2"/>
      </rPr>
      <t xml:space="preserve"> (n=46). Results from Sanger/EQA and/or Illumina are indicated in columns D and E, for isolates where they were available.</t>
    </r>
  </si>
  <si>
    <t>Table S1. Overview of isolates, sequencing details, genome QC, SBT calls, and accessions.</t>
  </si>
  <si>
    <t>ONT library prep</t>
  </si>
  <si>
    <t>ONT-only assembly</t>
  </si>
  <si>
    <t>Illumina-only assembly</t>
  </si>
  <si>
    <t>Hybrid assembly</t>
  </si>
  <si>
    <t>BioSample accession</t>
  </si>
  <si>
    <t>Illumina read accession</t>
  </si>
  <si>
    <t>ONT read accession</t>
  </si>
  <si>
    <t>Illumina read depth</t>
  </si>
  <si>
    <t>Illumina kit</t>
  </si>
  <si>
    <t>Illumina library prep</t>
  </si>
  <si>
    <t>ONT contig count</t>
  </si>
  <si>
    <t>Illumina contig count (unicycler v0.5.0)</t>
  </si>
  <si>
    <t>GC% (trycycler+medaka)</t>
  </si>
  <si>
    <t>GC% (trycycler)</t>
  </si>
  <si>
    <t>GC % (Illumina, unicycler v0.5.0)</t>
  </si>
  <si>
    <t>Largest contig (trycycler+medaka+polypolish+polca)</t>
  </si>
  <si>
    <t>Largest contig (trycycler+medaka)</t>
  </si>
  <si>
    <t>Largest contig (trycycler)</t>
  </si>
  <si>
    <t>Total length (trycycler+medaka+polypolish+polca)</t>
  </si>
  <si>
    <t>ST (trycycler+medaka+polypolish+polca)</t>
  </si>
  <si>
    <t>ST (trycycler+medaka)</t>
  </si>
  <si>
    <t xml:space="preserve">Unicycler v0.4.8
No read correction
SPAdes v3.13.0
</t>
  </si>
  <si>
    <t xml:space="preserve">Unicycler v0.4.8
No read correction, No Pilon
SPAdes v3.13.0
</t>
  </si>
  <si>
    <t>Total length
 (Illumina, unicycler v0.5.0)</t>
  </si>
  <si>
    <t>Total length 
(trycycler)</t>
  </si>
  <si>
    <t>Total length 
(trycycler+medaka)</t>
  </si>
  <si>
    <t>ST 
(Sanger SBT/EQA SBT)</t>
  </si>
  <si>
    <t>ST 
(Illumina, unicycler v0.4.8)</t>
  </si>
  <si>
    <t>ST 
(Illumina, unicycler v0.5.0)</t>
  </si>
  <si>
    <t>ST 
(Illumina, spades v3.15.5)</t>
  </si>
  <si>
    <t>ST 
(trycycler)</t>
  </si>
  <si>
    <t>ST 
(flye+medaka)</t>
  </si>
  <si>
    <t>ST 
(unicycler long-read only+medaka)</t>
  </si>
  <si>
    <t>GC% (trycycler+medaka+ polypolish+polca)</t>
  </si>
  <si>
    <t>ONT read depth</t>
  </si>
  <si>
    <r>
      <t xml:space="preserve">Inability to determine a </t>
    </r>
    <r>
      <rPr>
        <i/>
        <sz val="11"/>
        <color rgb="FF000000"/>
        <rFont val="Calibri"/>
        <family val="2"/>
        <scheme val="minor"/>
      </rPr>
      <t>mompS</t>
    </r>
    <r>
      <rPr>
        <sz val="11"/>
        <color rgb="FF000000"/>
        <rFont val="Calibri"/>
        <family val="2"/>
        <scheme val="minor"/>
      </rPr>
      <t xml:space="preserve"> allele and thus the ST is marked by “–“; untypeability of the ST is designated with the closest matching ST as “ST-nLV”; “*” marks the closest matching allele if &lt;100% and ≥ 90% identity; “?” marks the closest matching allele if&lt;100% and ≥ 80% coverage. </t>
    </r>
  </si>
  <si>
    <r>
      <rPr>
        <i/>
        <sz val="11"/>
        <color rgb="FF000000"/>
        <rFont val="Calibri"/>
        <family val="2"/>
        <scheme val="minor"/>
      </rPr>
      <t>mompS1/2</t>
    </r>
    <r>
      <rPr>
        <sz val="11"/>
        <color rgb="FF000000"/>
        <rFont val="Calibri"/>
        <family val="2"/>
        <scheme val="minor"/>
      </rPr>
      <t xml:space="preserve"> resolved</t>
    </r>
  </si>
  <si>
    <r>
      <rPr>
        <i/>
        <sz val="11"/>
        <color rgb="FF000000"/>
        <rFont val="Calibri"/>
        <family val="2"/>
        <scheme val="minor"/>
      </rPr>
      <t>mompS1/2</t>
    </r>
    <r>
      <rPr>
        <sz val="11"/>
        <color rgb="FF000000"/>
        <rFont val="Calibri"/>
        <family val="2"/>
        <scheme val="minor"/>
      </rPr>
      <t xml:space="preserve"> not resolved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</si>
</sst>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SUH_LEG_&quot;@"/>
    <numFmt numFmtId="165" formatCode="mm/dd/yy"/>
    <numFmt numFmtId="166" formatCode="dd/mm/yy"/>
  </numFmts>
  <fonts count="28">
    <font>
      <sz val="11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1"/>
      <color rgb="FF000000"/>
      <name val="Calibri (Body)"/>
      <charset val="1"/>
    </font>
    <font>
      <b/>
      <i/>
      <sz val="11"/>
      <color rgb="FF000000"/>
      <name val="Calibri"/>
      <family val="2"/>
      <scheme val="minor"/>
    </font>
    <font>
      <sz val="11"/>
      <color theme="5" tint="0.79998168889431442"/>
      <name val="Calibri"/>
      <family val="2"/>
      <charset val="1"/>
    </font>
    <font>
      <sz val="11"/>
      <color rgb="FF000000"/>
      <name val="Calibri (Body)"/>
    </font>
    <font>
      <b/>
      <sz val="11"/>
      <color rgb="FF000000"/>
      <name val="Calibri (Body)"/>
    </font>
    <font>
      <sz val="11"/>
      <name val="Calibri (Body)"/>
    </font>
    <font>
      <sz val="11"/>
      <color theme="1"/>
      <name val="Calibri (Body)"/>
    </font>
    <font>
      <b/>
      <sz val="12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b/>
      <i/>
      <sz val="12"/>
      <color rgb="FF000000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i/>
      <sz val="11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FF9999"/>
        <bgColor rgb="FFFF8080"/>
      </patternFill>
    </fill>
    <fill>
      <patternFill patternType="solid">
        <fgColor rgb="FFFDFECC"/>
        <bgColor rgb="FFFDFFCB"/>
      </patternFill>
    </fill>
    <fill>
      <patternFill patternType="solid">
        <fgColor rgb="FFE2F0D9"/>
        <bgColor rgb="FFDDDDDD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9999"/>
        <bgColor rgb="FFDDDDDD"/>
      </patternFill>
    </fill>
    <fill>
      <patternFill patternType="solid">
        <fgColor rgb="FFFDFFCB"/>
        <bgColor rgb="FFFDFECC"/>
      </patternFill>
    </fill>
    <fill>
      <patternFill patternType="solid">
        <fgColor theme="0"/>
        <bgColor rgb="FFDDDDDD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60">
    <xf numFmtId="0" fontId="0" fillId="0" borderId="0" xfId="0"/>
    <xf numFmtId="0" fontId="8" fillId="0" borderId="0" xfId="1" applyFont="1"/>
    <xf numFmtId="0" fontId="7" fillId="0" borderId="0" xfId="1" applyFont="1"/>
    <xf numFmtId="0" fontId="8" fillId="14" borderId="3" xfId="1" applyFont="1" applyFill="1" applyBorder="1" applyAlignment="1">
      <alignment horizontal="center"/>
    </xf>
    <xf numFmtId="0" fontId="3" fillId="14" borderId="3" xfId="1" applyFont="1" applyFill="1" applyBorder="1" applyAlignment="1">
      <alignment horizontal="center" wrapText="1"/>
    </xf>
    <xf numFmtId="0" fontId="12" fillId="0" borderId="0" xfId="1" applyFont="1" applyAlignment="1">
      <alignment horizontal="left"/>
    </xf>
    <xf numFmtId="0" fontId="14" fillId="0" borderId="0" xfId="1" applyFont="1" applyAlignment="1">
      <alignment horizontal="left"/>
    </xf>
    <xf numFmtId="0" fontId="12" fillId="0" borderId="0" xfId="1" applyFont="1" applyAlignment="1">
      <alignment horizontal="right"/>
    </xf>
    <xf numFmtId="0" fontId="12" fillId="0" borderId="2" xfId="1" applyFont="1" applyBorder="1" applyAlignment="1">
      <alignment horizontal="center" vertical="center" wrapText="1"/>
    </xf>
    <xf numFmtId="0" fontId="12" fillId="0" borderId="0" xfId="1" applyFont="1"/>
    <xf numFmtId="0" fontId="7" fillId="0" borderId="0" xfId="1" applyFont="1" applyAlignment="1">
      <alignment horizontal="right"/>
    </xf>
    <xf numFmtId="0" fontId="5" fillId="0" borderId="0" xfId="2" applyFont="1"/>
    <xf numFmtId="164" fontId="5" fillId="0" borderId="0" xfId="2" applyNumberFormat="1" applyFont="1"/>
    <xf numFmtId="0" fontId="5" fillId="0" borderId="0" xfId="2" applyFont="1" applyAlignment="1">
      <alignment horizontal="left"/>
    </xf>
    <xf numFmtId="0" fontId="16" fillId="0" borderId="0" xfId="1" applyFont="1"/>
    <xf numFmtId="0" fontId="5" fillId="6" borderId="19" xfId="2" applyFont="1" applyFill="1" applyBorder="1" applyAlignment="1">
      <alignment horizontal="center"/>
    </xf>
    <xf numFmtId="0" fontId="5" fillId="6" borderId="19" xfId="2" quotePrefix="1" applyFont="1" applyFill="1" applyBorder="1" applyAlignment="1">
      <alignment horizontal="center"/>
    </xf>
    <xf numFmtId="166" fontId="5" fillId="6" borderId="19" xfId="2" quotePrefix="1" applyNumberFormat="1" applyFont="1" applyFill="1" applyBorder="1" applyAlignment="1">
      <alignment horizontal="center"/>
    </xf>
    <xf numFmtId="0" fontId="5" fillId="6" borderId="22" xfId="2" applyFont="1" applyFill="1" applyBorder="1" applyAlignment="1">
      <alignment horizontal="center"/>
    </xf>
    <xf numFmtId="0" fontId="21" fillId="0" borderId="0" xfId="2" applyFont="1"/>
    <xf numFmtId="0" fontId="23" fillId="0" borderId="0" xfId="1" applyFont="1" applyAlignment="1">
      <alignment horizontal="left" vertical="top"/>
    </xf>
    <xf numFmtId="0" fontId="21" fillId="0" borderId="0" xfId="1" applyFont="1" applyAlignment="1">
      <alignment horizontal="left"/>
    </xf>
    <xf numFmtId="0" fontId="4" fillId="0" borderId="1" xfId="2" applyFont="1" applyBorder="1" applyAlignment="1">
      <alignment horizontal="left"/>
    </xf>
    <xf numFmtId="0" fontId="5" fillId="5" borderId="23" xfId="2" applyFont="1" applyFill="1" applyBorder="1" applyAlignment="1">
      <alignment horizontal="left"/>
    </xf>
    <xf numFmtId="0" fontId="5" fillId="0" borderId="13" xfId="2" applyFont="1" applyBorder="1" applyAlignment="1">
      <alignment horizontal="left"/>
    </xf>
    <xf numFmtId="0" fontId="5" fillId="6" borderId="13" xfId="2" applyFont="1" applyFill="1" applyBorder="1" applyAlignment="1">
      <alignment horizontal="left"/>
    </xf>
    <xf numFmtId="0" fontId="5" fillId="3" borderId="14" xfId="2" applyFont="1" applyFill="1" applyBorder="1" applyAlignment="1">
      <alignment horizontal="left"/>
    </xf>
    <xf numFmtId="0" fontId="8" fillId="14" borderId="21" xfId="1" applyFont="1" applyFill="1" applyBorder="1" applyAlignment="1">
      <alignment horizontal="center"/>
    </xf>
    <xf numFmtId="0" fontId="10" fillId="15" borderId="3" xfId="0" applyFont="1" applyFill="1" applyBorder="1" applyAlignment="1">
      <alignment horizontal="center"/>
    </xf>
    <xf numFmtId="0" fontId="10" fillId="15" borderId="19" xfId="0" applyFont="1" applyFill="1" applyBorder="1" applyAlignment="1">
      <alignment horizontal="center"/>
    </xf>
    <xf numFmtId="0" fontId="10" fillId="15" borderId="21" xfId="0" applyFont="1" applyFill="1" applyBorder="1" applyAlignment="1">
      <alignment horizontal="center"/>
    </xf>
    <xf numFmtId="0" fontId="10" fillId="15" borderId="22" xfId="0" applyFont="1" applyFill="1" applyBorder="1" applyAlignment="1">
      <alignment horizontal="center"/>
    </xf>
    <xf numFmtId="0" fontId="8" fillId="0" borderId="18" xfId="1" applyFont="1" applyBorder="1" applyAlignment="1">
      <alignment horizontal="left"/>
    </xf>
    <xf numFmtId="0" fontId="8" fillId="0" borderId="3" xfId="1" applyFont="1" applyBorder="1" applyAlignment="1">
      <alignment horizontal="left"/>
    </xf>
    <xf numFmtId="0" fontId="8" fillId="0" borderId="20" xfId="1" applyFont="1" applyBorder="1" applyAlignment="1">
      <alignment horizontal="left"/>
    </xf>
    <xf numFmtId="0" fontId="8" fillId="0" borderId="21" xfId="1" applyFont="1" applyBorder="1" applyAlignment="1">
      <alignment horizontal="left"/>
    </xf>
    <xf numFmtId="0" fontId="8" fillId="0" borderId="24" xfId="1" applyFont="1" applyBorder="1" applyAlignment="1">
      <alignment horizontal="left"/>
    </xf>
    <xf numFmtId="0" fontId="8" fillId="0" borderId="25" xfId="1" applyFont="1" applyBorder="1" applyAlignment="1">
      <alignment horizontal="left"/>
    </xf>
    <xf numFmtId="0" fontId="8" fillId="14" borderId="25" xfId="1" applyFont="1" applyFill="1" applyBorder="1" applyAlignment="1">
      <alignment horizontal="center"/>
    </xf>
    <xf numFmtId="0" fontId="3" fillId="14" borderId="25" xfId="1" applyFont="1" applyFill="1" applyBorder="1" applyAlignment="1">
      <alignment horizontal="center" wrapText="1"/>
    </xf>
    <xf numFmtId="0" fontId="10" fillId="15" borderId="25" xfId="0" applyFont="1" applyFill="1" applyBorder="1" applyAlignment="1">
      <alignment horizontal="center"/>
    </xf>
    <xf numFmtId="0" fontId="10" fillId="15" borderId="26" xfId="0" applyFont="1" applyFill="1" applyBorder="1" applyAlignment="1">
      <alignment horizontal="center"/>
    </xf>
    <xf numFmtId="0" fontId="12" fillId="0" borderId="2" xfId="1" applyFont="1" applyBorder="1" applyAlignment="1">
      <alignment horizontal="center"/>
    </xf>
    <xf numFmtId="0" fontId="12" fillId="17" borderId="27" xfId="1" applyFont="1" applyFill="1" applyBorder="1" applyAlignment="1">
      <alignment horizontal="left"/>
    </xf>
    <xf numFmtId="0" fontId="12" fillId="17" borderId="5" xfId="1" applyFont="1" applyFill="1" applyBorder="1" applyAlignment="1">
      <alignment horizontal="left"/>
    </xf>
    <xf numFmtId="0" fontId="12" fillId="17" borderId="6" xfId="1" applyFont="1" applyFill="1" applyBorder="1" applyAlignment="1">
      <alignment horizontal="left"/>
    </xf>
    <xf numFmtId="0" fontId="18" fillId="14" borderId="6" xfId="1" applyFont="1" applyFill="1" applyBorder="1" applyAlignment="1">
      <alignment horizontal="center" vertical="center" wrapText="1"/>
    </xf>
    <xf numFmtId="0" fontId="18" fillId="7" borderId="5" xfId="1" applyFont="1" applyFill="1" applyBorder="1" applyAlignment="1">
      <alignment horizontal="center" vertical="center" wrapText="1"/>
    </xf>
    <xf numFmtId="0" fontId="18" fillId="7" borderId="6" xfId="1" applyFont="1" applyFill="1" applyBorder="1" applyAlignment="1">
      <alignment horizontal="center" vertical="center" wrapText="1"/>
    </xf>
    <xf numFmtId="0" fontId="18" fillId="15" borderId="5" xfId="1" applyFont="1" applyFill="1" applyBorder="1" applyAlignment="1">
      <alignment horizontal="center" vertical="center"/>
    </xf>
    <xf numFmtId="0" fontId="9" fillId="0" borderId="0" xfId="1" applyFont="1"/>
    <xf numFmtId="0" fontId="9" fillId="0" borderId="0" xfId="1" applyFont="1" applyBorder="1"/>
    <xf numFmtId="0" fontId="18" fillId="15" borderId="6" xfId="1" applyFont="1" applyFill="1" applyBorder="1" applyAlignment="1">
      <alignment horizontal="center" vertical="center"/>
    </xf>
    <xf numFmtId="0" fontId="18" fillId="16" borderId="6" xfId="1" applyFont="1" applyFill="1" applyBorder="1" applyAlignment="1">
      <alignment horizontal="center" vertical="center"/>
    </xf>
    <xf numFmtId="0" fontId="10" fillId="15" borderId="24" xfId="0" applyFont="1" applyFill="1" applyBorder="1" applyAlignment="1">
      <alignment horizontal="center"/>
    </xf>
    <xf numFmtId="0" fontId="10" fillId="15" borderId="18" xfId="0" applyFont="1" applyFill="1" applyBorder="1" applyAlignment="1">
      <alignment horizontal="center"/>
    </xf>
    <xf numFmtId="0" fontId="10" fillId="15" borderId="20" xfId="0" applyFont="1" applyFill="1" applyBorder="1" applyAlignment="1">
      <alignment horizontal="center"/>
    </xf>
    <xf numFmtId="0" fontId="3" fillId="0" borderId="9" xfId="1" applyFont="1" applyBorder="1" applyAlignment="1">
      <alignment horizontal="center"/>
    </xf>
    <xf numFmtId="0" fontId="3" fillId="0" borderId="29" xfId="1" applyFont="1" applyBorder="1" applyAlignment="1">
      <alignment horizontal="center"/>
    </xf>
    <xf numFmtId="0" fontId="8" fillId="0" borderId="29" xfId="1" applyFont="1" applyBorder="1" applyAlignment="1">
      <alignment horizontal="center"/>
    </xf>
    <xf numFmtId="0" fontId="8" fillId="0" borderId="30" xfId="1" applyFont="1" applyBorder="1" applyAlignment="1">
      <alignment horizontal="center"/>
    </xf>
    <xf numFmtId="0" fontId="8" fillId="14" borderId="24" xfId="1" applyFont="1" applyFill="1" applyBorder="1" applyAlignment="1">
      <alignment horizontal="center"/>
    </xf>
    <xf numFmtId="0" fontId="8" fillId="14" borderId="26" xfId="1" applyFont="1" applyFill="1" applyBorder="1" applyAlignment="1">
      <alignment horizontal="center"/>
    </xf>
    <xf numFmtId="0" fontId="8" fillId="14" borderId="18" xfId="1" applyFont="1" applyFill="1" applyBorder="1" applyAlignment="1">
      <alignment horizontal="center"/>
    </xf>
    <xf numFmtId="0" fontId="8" fillId="14" borderId="19" xfId="1" applyFont="1" applyFill="1" applyBorder="1" applyAlignment="1">
      <alignment horizontal="center"/>
    </xf>
    <xf numFmtId="0" fontId="3" fillId="14" borderId="18" xfId="1" applyFont="1" applyFill="1" applyBorder="1" applyAlignment="1">
      <alignment horizontal="center" wrapText="1"/>
    </xf>
    <xf numFmtId="0" fontId="8" fillId="14" borderId="18" xfId="1" applyFont="1" applyFill="1" applyBorder="1" applyAlignment="1">
      <alignment horizontal="center" vertical="center"/>
    </xf>
    <xf numFmtId="0" fontId="8" fillId="14" borderId="20" xfId="1" applyFont="1" applyFill="1" applyBorder="1" applyAlignment="1">
      <alignment horizontal="center"/>
    </xf>
    <xf numFmtId="0" fontId="8" fillId="14" borderId="22" xfId="1" applyFont="1" applyFill="1" applyBorder="1" applyAlignment="1">
      <alignment horizontal="center"/>
    </xf>
    <xf numFmtId="0" fontId="17" fillId="0" borderId="3" xfId="1" applyFont="1" applyBorder="1"/>
    <xf numFmtId="0" fontId="17" fillId="14" borderId="3" xfId="1" applyFont="1" applyFill="1" applyBorder="1" applyAlignment="1">
      <alignment horizontal="right"/>
    </xf>
    <xf numFmtId="0" fontId="17" fillId="14" borderId="3" xfId="1" applyFont="1" applyFill="1" applyBorder="1"/>
    <xf numFmtId="0" fontId="17" fillId="7" borderId="3" xfId="1" applyFont="1" applyFill="1" applyBorder="1" applyAlignment="1">
      <alignment horizontal="center" vertical="center"/>
    </xf>
    <xf numFmtId="0" fontId="17" fillId="7" borderId="3" xfId="1" applyFont="1" applyFill="1" applyBorder="1" applyAlignment="1">
      <alignment horizontal="center"/>
    </xf>
    <xf numFmtId="0" fontId="19" fillId="16" borderId="3" xfId="1" applyFont="1" applyFill="1" applyBorder="1"/>
    <xf numFmtId="0" fontId="17" fillId="16" borderId="3" xfId="1" applyFont="1" applyFill="1" applyBorder="1"/>
    <xf numFmtId="0" fontId="17" fillId="16" borderId="3" xfId="1" applyFont="1" applyFill="1" applyBorder="1" applyAlignment="1">
      <alignment horizontal="center"/>
    </xf>
    <xf numFmtId="0" fontId="17" fillId="15" borderId="3" xfId="1" applyFont="1" applyFill="1" applyBorder="1"/>
    <xf numFmtId="0" fontId="19" fillId="14" borderId="3" xfId="1" applyFont="1" applyFill="1" applyBorder="1"/>
    <xf numFmtId="0" fontId="19" fillId="15" borderId="3" xfId="1" applyFont="1" applyFill="1" applyBorder="1"/>
    <xf numFmtId="0" fontId="19" fillId="14" borderId="3" xfId="1" applyFont="1" applyFill="1" applyBorder="1" applyAlignment="1">
      <alignment horizontal="right"/>
    </xf>
    <xf numFmtId="164" fontId="19" fillId="0" borderId="18" xfId="1" applyNumberFormat="1" applyFont="1" applyBorder="1"/>
    <xf numFmtId="0" fontId="17" fillId="15" borderId="19" xfId="1" applyFont="1" applyFill="1" applyBorder="1"/>
    <xf numFmtId="0" fontId="19" fillId="15" borderId="19" xfId="1" applyFont="1" applyFill="1" applyBorder="1"/>
    <xf numFmtId="0" fontId="19" fillId="0" borderId="18" xfId="1" applyFont="1" applyBorder="1"/>
    <xf numFmtId="0" fontId="20" fillId="15" borderId="19" xfId="0" applyFont="1" applyFill="1" applyBorder="1"/>
    <xf numFmtId="0" fontId="20" fillId="15" borderId="19" xfId="1" applyFont="1" applyFill="1" applyBorder="1"/>
    <xf numFmtId="164" fontId="19" fillId="0" borderId="20" xfId="1" applyNumberFormat="1" applyFont="1" applyBorder="1"/>
    <xf numFmtId="0" fontId="17" fillId="0" borderId="21" xfId="1" applyFont="1" applyBorder="1"/>
    <xf numFmtId="0" fontId="17" fillId="14" borderId="21" xfId="1" applyFont="1" applyFill="1" applyBorder="1"/>
    <xf numFmtId="0" fontId="17" fillId="14" borderId="21" xfId="1" applyFont="1" applyFill="1" applyBorder="1" applyAlignment="1">
      <alignment horizontal="right"/>
    </xf>
    <xf numFmtId="0" fontId="17" fillId="7" borderId="21" xfId="1" applyFont="1" applyFill="1" applyBorder="1" applyAlignment="1">
      <alignment horizontal="center" vertical="center"/>
    </xf>
    <xf numFmtId="0" fontId="17" fillId="7" borderId="21" xfId="1" applyFont="1" applyFill="1" applyBorder="1" applyAlignment="1">
      <alignment horizontal="center"/>
    </xf>
    <xf numFmtId="0" fontId="19" fillId="16" borderId="21" xfId="1" applyFont="1" applyFill="1" applyBorder="1"/>
    <xf numFmtId="0" fontId="17" fillId="16" borderId="21" xfId="1" applyFont="1" applyFill="1" applyBorder="1"/>
    <xf numFmtId="0" fontId="17" fillId="16" borderId="21" xfId="1" applyFont="1" applyFill="1" applyBorder="1" applyAlignment="1">
      <alignment horizontal="center"/>
    </xf>
    <xf numFmtId="0" fontId="17" fillId="15" borderId="21" xfId="1" applyFont="1" applyFill="1" applyBorder="1"/>
    <xf numFmtId="0" fontId="17" fillId="15" borderId="22" xfId="1" applyFont="1" applyFill="1" applyBorder="1"/>
    <xf numFmtId="0" fontId="17" fillId="0" borderId="19" xfId="1" applyFont="1" applyBorder="1"/>
    <xf numFmtId="0" fontId="17" fillId="0" borderId="22" xfId="1" applyFont="1" applyBorder="1"/>
    <xf numFmtId="0" fontId="17" fillId="14" borderId="18" xfId="1" applyFont="1" applyFill="1" applyBorder="1" applyAlignment="1">
      <alignment horizontal="right"/>
    </xf>
    <xf numFmtId="0" fontId="17" fillId="14" borderId="19" xfId="1" applyFont="1" applyFill="1" applyBorder="1" applyAlignment="1">
      <alignment horizontal="right"/>
    </xf>
    <xf numFmtId="0" fontId="19" fillId="14" borderId="18" xfId="1" applyFont="1" applyFill="1" applyBorder="1"/>
    <xf numFmtId="0" fontId="19" fillId="14" borderId="19" xfId="1" applyFont="1" applyFill="1" applyBorder="1"/>
    <xf numFmtId="0" fontId="17" fillId="14" borderId="18" xfId="1" applyFont="1" applyFill="1" applyBorder="1"/>
    <xf numFmtId="0" fontId="17" fillId="14" borderId="19" xfId="1" applyFont="1" applyFill="1" applyBorder="1"/>
    <xf numFmtId="0" fontId="19" fillId="14" borderId="18" xfId="1" applyFont="1" applyFill="1" applyBorder="1" applyAlignment="1">
      <alignment horizontal="right"/>
    </xf>
    <xf numFmtId="0" fontId="19" fillId="14" borderId="19" xfId="1" applyFont="1" applyFill="1" applyBorder="1" applyAlignment="1">
      <alignment horizontal="right"/>
    </xf>
    <xf numFmtId="0" fontId="17" fillId="14" borderId="20" xfId="1" applyFont="1" applyFill="1" applyBorder="1"/>
    <xf numFmtId="0" fontId="17" fillId="14" borderId="22" xfId="1" applyFont="1" applyFill="1" applyBorder="1"/>
    <xf numFmtId="164" fontId="19" fillId="0" borderId="24" xfId="1" applyNumberFormat="1" applyFont="1" applyBorder="1"/>
    <xf numFmtId="0" fontId="17" fillId="0" borderId="25" xfId="1" applyFont="1" applyBorder="1"/>
    <xf numFmtId="0" fontId="17" fillId="0" borderId="26" xfId="1" applyFont="1" applyBorder="1"/>
    <xf numFmtId="0" fontId="17" fillId="14" borderId="24" xfId="1" applyFont="1" applyFill="1" applyBorder="1" applyAlignment="1">
      <alignment horizontal="right"/>
    </xf>
    <xf numFmtId="0" fontId="17" fillId="14" borderId="25" xfId="1" applyFont="1" applyFill="1" applyBorder="1" applyAlignment="1">
      <alignment horizontal="right"/>
    </xf>
    <xf numFmtId="0" fontId="17" fillId="14" borderId="25" xfId="1" applyFont="1" applyFill="1" applyBorder="1"/>
    <xf numFmtId="0" fontId="17" fillId="14" borderId="26" xfId="1" applyFont="1" applyFill="1" applyBorder="1" applyAlignment="1">
      <alignment horizontal="right"/>
    </xf>
    <xf numFmtId="0" fontId="17" fillId="7" borderId="25" xfId="1" applyFont="1" applyFill="1" applyBorder="1" applyAlignment="1">
      <alignment horizontal="center" vertical="center"/>
    </xf>
    <xf numFmtId="0" fontId="17" fillId="7" borderId="25" xfId="1" applyFont="1" applyFill="1" applyBorder="1" applyAlignment="1">
      <alignment horizontal="center"/>
    </xf>
    <xf numFmtId="0" fontId="19" fillId="16" borderId="25" xfId="1" applyFont="1" applyFill="1" applyBorder="1"/>
    <xf numFmtId="0" fontId="17" fillId="16" borderId="25" xfId="1" applyFont="1" applyFill="1" applyBorder="1"/>
    <xf numFmtId="0" fontId="17" fillId="16" borderId="25" xfId="1" applyFont="1" applyFill="1" applyBorder="1" applyAlignment="1">
      <alignment horizontal="center"/>
    </xf>
    <xf numFmtId="0" fontId="17" fillId="15" borderId="25" xfId="1" applyFont="1" applyFill="1" applyBorder="1"/>
    <xf numFmtId="0" fontId="17" fillId="15" borderId="26" xfId="1" applyFont="1" applyFill="1" applyBorder="1"/>
    <xf numFmtId="0" fontId="18" fillId="17" borderId="27" xfId="1" applyFont="1" applyFill="1" applyBorder="1" applyAlignment="1">
      <alignment horizontal="center" vertical="center"/>
    </xf>
    <xf numFmtId="0" fontId="18" fillId="17" borderId="5" xfId="1" applyFont="1" applyFill="1" applyBorder="1" applyAlignment="1">
      <alignment horizontal="center" vertical="center"/>
    </xf>
    <xf numFmtId="0" fontId="18" fillId="17" borderId="6" xfId="1" applyFont="1" applyFill="1" applyBorder="1" applyAlignment="1">
      <alignment horizontal="center" vertical="center"/>
    </xf>
    <xf numFmtId="0" fontId="18" fillId="14" borderId="5" xfId="1" applyFont="1" applyFill="1" applyBorder="1" applyAlignment="1">
      <alignment horizontal="center" vertical="center" wrapText="1"/>
    </xf>
    <xf numFmtId="0" fontId="18" fillId="16" borderId="5" xfId="1" applyFont="1" applyFill="1" applyBorder="1" applyAlignment="1">
      <alignment horizontal="center" vertical="center"/>
    </xf>
    <xf numFmtId="0" fontId="17" fillId="7" borderId="24" xfId="1" applyFont="1" applyFill="1" applyBorder="1" applyAlignment="1">
      <alignment horizontal="center" vertical="center"/>
    </xf>
    <xf numFmtId="0" fontId="17" fillId="7" borderId="26" xfId="1" applyFont="1" applyFill="1" applyBorder="1" applyAlignment="1">
      <alignment horizontal="center"/>
    </xf>
    <xf numFmtId="0" fontId="17" fillId="7" borderId="18" xfId="1" applyFont="1" applyFill="1" applyBorder="1" applyAlignment="1">
      <alignment horizontal="center" vertical="center"/>
    </xf>
    <xf numFmtId="0" fontId="17" fillId="7" borderId="19" xfId="1" applyFont="1" applyFill="1" applyBorder="1" applyAlignment="1">
      <alignment horizontal="center"/>
    </xf>
    <xf numFmtId="0" fontId="17" fillId="7" borderId="18" xfId="1" applyFont="1" applyFill="1" applyBorder="1" applyAlignment="1">
      <alignment horizontal="center"/>
    </xf>
    <xf numFmtId="0" fontId="17" fillId="7" borderId="20" xfId="1" applyFont="1" applyFill="1" applyBorder="1" applyAlignment="1">
      <alignment horizontal="center" vertical="center"/>
    </xf>
    <xf numFmtId="0" fontId="17" fillId="7" borderId="22" xfId="1" applyFont="1" applyFill="1" applyBorder="1" applyAlignment="1">
      <alignment horizontal="center"/>
    </xf>
    <xf numFmtId="0" fontId="18" fillId="16" borderId="27" xfId="1" applyFont="1" applyFill="1" applyBorder="1" applyAlignment="1">
      <alignment horizontal="center" vertical="center"/>
    </xf>
    <xf numFmtId="0" fontId="19" fillId="16" borderId="24" xfId="1" applyFont="1" applyFill="1" applyBorder="1"/>
    <xf numFmtId="0" fontId="17" fillId="16" borderId="26" xfId="1" applyFont="1" applyFill="1" applyBorder="1"/>
    <xf numFmtId="0" fontId="19" fillId="16" borderId="18" xfId="1" applyFont="1" applyFill="1" applyBorder="1"/>
    <xf numFmtId="0" fontId="17" fillId="16" borderId="19" xfId="1" applyFont="1" applyFill="1" applyBorder="1"/>
    <xf numFmtId="0" fontId="17" fillId="16" borderId="18" xfId="1" applyFont="1" applyFill="1" applyBorder="1"/>
    <xf numFmtId="0" fontId="19" fillId="16" borderId="20" xfId="1" applyFont="1" applyFill="1" applyBorder="1"/>
    <xf numFmtId="0" fontId="17" fillId="16" borderId="22" xfId="1" applyFont="1" applyFill="1" applyBorder="1"/>
    <xf numFmtId="0" fontId="18" fillId="15" borderId="27" xfId="1" applyFont="1" applyFill="1" applyBorder="1" applyAlignment="1">
      <alignment horizontal="center" vertical="center"/>
    </xf>
    <xf numFmtId="0" fontId="17" fillId="15" borderId="24" xfId="1" applyFont="1" applyFill="1" applyBorder="1"/>
    <xf numFmtId="0" fontId="17" fillId="15" borderId="18" xfId="1" applyFont="1" applyFill="1" applyBorder="1"/>
    <xf numFmtId="0" fontId="17" fillId="15" borderId="20" xfId="1" applyFont="1" applyFill="1" applyBorder="1"/>
    <xf numFmtId="0" fontId="18" fillId="0" borderId="11" xfId="1" applyFont="1" applyBorder="1"/>
    <xf numFmtId="0" fontId="18" fillId="0" borderId="7" xfId="1" applyFont="1" applyBorder="1"/>
    <xf numFmtId="0" fontId="18" fillId="0" borderId="12" xfId="1" applyFont="1" applyBorder="1"/>
    <xf numFmtId="0" fontId="8" fillId="0" borderId="19" xfId="1" applyFont="1" applyBorder="1" applyAlignment="1">
      <alignment horizontal="left"/>
    </xf>
    <xf numFmtId="0" fontId="8" fillId="0" borderId="22" xfId="1" applyFont="1" applyBorder="1" applyAlignment="1">
      <alignment horizontal="left"/>
    </xf>
    <xf numFmtId="0" fontId="8" fillId="0" borderId="27" xfId="1" applyFont="1" applyBorder="1"/>
    <xf numFmtId="0" fontId="8" fillId="0" borderId="5" xfId="1" applyFont="1" applyBorder="1"/>
    <xf numFmtId="0" fontId="8" fillId="0" borderId="6" xfId="1" applyFont="1" applyBorder="1"/>
    <xf numFmtId="0" fontId="12" fillId="14" borderId="27" xfId="1" applyFont="1" applyFill="1" applyBorder="1" applyAlignment="1">
      <alignment horizontal="center" vertical="center"/>
    </xf>
    <xf numFmtId="0" fontId="12" fillId="14" borderId="5" xfId="1" applyFont="1" applyFill="1" applyBorder="1" applyAlignment="1">
      <alignment horizontal="center" vertical="center"/>
    </xf>
    <xf numFmtId="0" fontId="8" fillId="0" borderId="26" xfId="1" applyFont="1" applyBorder="1" applyAlignment="1">
      <alignment horizontal="left"/>
    </xf>
    <xf numFmtId="0" fontId="12" fillId="14" borderId="27" xfId="1" applyFont="1" applyFill="1" applyBorder="1" applyAlignment="1">
      <alignment horizontal="center"/>
    </xf>
    <xf numFmtId="0" fontId="12" fillId="14" borderId="5" xfId="1" applyFont="1" applyFill="1" applyBorder="1" applyAlignment="1">
      <alignment horizontal="center"/>
    </xf>
    <xf numFmtId="0" fontId="13" fillId="14" borderId="5" xfId="1" applyFont="1" applyFill="1" applyBorder="1" applyAlignment="1">
      <alignment horizontal="center"/>
    </xf>
    <xf numFmtId="0" fontId="13" fillId="14" borderId="6" xfId="1" applyFont="1" applyFill="1" applyBorder="1" applyAlignment="1">
      <alignment horizontal="center" wrapText="1"/>
    </xf>
    <xf numFmtId="0" fontId="11" fillId="15" borderId="27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11" fillId="15" borderId="6" xfId="0" applyFont="1" applyFill="1" applyBorder="1" applyAlignment="1">
      <alignment horizontal="center"/>
    </xf>
    <xf numFmtId="0" fontId="5" fillId="6" borderId="26" xfId="2" applyFont="1" applyFill="1" applyBorder="1" applyAlignment="1">
      <alignment horizontal="center"/>
    </xf>
    <xf numFmtId="0" fontId="15" fillId="2" borderId="22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0" fontId="4" fillId="2" borderId="35" xfId="2" applyFont="1" applyFill="1" applyBorder="1" applyAlignment="1">
      <alignment horizontal="center" vertical="center"/>
    </xf>
    <xf numFmtId="0" fontId="4" fillId="2" borderId="14" xfId="2" applyFont="1" applyFill="1" applyBorder="1" applyAlignment="1"/>
    <xf numFmtId="164" fontId="6" fillId="0" borderId="23" xfId="1" applyNumberFormat="1" applyFont="1" applyBorder="1" applyAlignment="1"/>
    <xf numFmtId="164" fontId="6" fillId="0" borderId="13" xfId="1" applyNumberFormat="1" applyFont="1" applyBorder="1" applyAlignment="1"/>
    <xf numFmtId="0" fontId="6" fillId="0" borderId="13" xfId="1" applyFont="1" applyBorder="1" applyAlignment="1"/>
    <xf numFmtId="164" fontId="6" fillId="0" borderId="14" xfId="1" applyNumberFormat="1" applyFont="1" applyBorder="1" applyAlignment="1"/>
    <xf numFmtId="0" fontId="4" fillId="2" borderId="34" xfId="2" applyFont="1" applyFill="1" applyBorder="1" applyAlignment="1">
      <alignment horizontal="center" vertical="center"/>
    </xf>
    <xf numFmtId="0" fontId="4" fillId="2" borderId="30" xfId="2" applyFont="1" applyFill="1" applyBorder="1" applyAlignment="1">
      <alignment horizontal="center"/>
    </xf>
    <xf numFmtId="0" fontId="5" fillId="11" borderId="9" xfId="2" applyFont="1" applyFill="1" applyBorder="1" applyAlignment="1">
      <alignment horizontal="center"/>
    </xf>
    <xf numFmtId="0" fontId="5" fillId="12" borderId="29" xfId="2" applyFont="1" applyFill="1" applyBorder="1" applyAlignment="1">
      <alignment horizontal="center"/>
    </xf>
    <xf numFmtId="0" fontId="5" fillId="13" borderId="29" xfId="2" applyFont="1" applyFill="1" applyBorder="1" applyAlignment="1">
      <alignment horizontal="center"/>
    </xf>
    <xf numFmtId="0" fontId="5" fillId="11" borderId="29" xfId="2" applyFont="1" applyFill="1" applyBorder="1" applyAlignment="1">
      <alignment horizontal="center"/>
    </xf>
    <xf numFmtId="0" fontId="5" fillId="11" borderId="30" xfId="2" applyFont="1" applyFill="1" applyBorder="1" applyAlignment="1">
      <alignment horizontal="center"/>
    </xf>
    <xf numFmtId="0" fontId="5" fillId="3" borderId="8" xfId="2" applyFont="1" applyFill="1" applyBorder="1" applyAlignment="1">
      <alignment horizontal="center"/>
    </xf>
    <xf numFmtId="0" fontId="5" fillId="3" borderId="32" xfId="2" applyFont="1" applyFill="1" applyBorder="1" applyAlignment="1">
      <alignment horizontal="center"/>
    </xf>
    <xf numFmtId="0" fontId="5" fillId="5" borderId="32" xfId="2" applyFont="1" applyFill="1" applyBorder="1" applyAlignment="1">
      <alignment horizontal="center"/>
    </xf>
    <xf numFmtId="0" fontId="5" fillId="5" borderId="33" xfId="2" applyFont="1" applyFill="1" applyBorder="1" applyAlignment="1">
      <alignment horizontal="center"/>
    </xf>
    <xf numFmtId="0" fontId="4" fillId="2" borderId="20" xfId="2" applyFont="1" applyFill="1" applyBorder="1" applyAlignment="1">
      <alignment horizontal="center"/>
    </xf>
    <xf numFmtId="0" fontId="5" fillId="3" borderId="24" xfId="2" applyFont="1" applyFill="1" applyBorder="1" applyAlignment="1">
      <alignment horizontal="center"/>
    </xf>
    <xf numFmtId="0" fontId="5" fillId="4" borderId="26" xfId="2" applyFont="1" applyFill="1" applyBorder="1" applyAlignment="1">
      <alignment horizontal="center"/>
    </xf>
    <xf numFmtId="0" fontId="5" fillId="3" borderId="18" xfId="2" applyFont="1" applyFill="1" applyBorder="1" applyAlignment="1">
      <alignment horizontal="center"/>
    </xf>
    <xf numFmtId="0" fontId="5" fillId="5" borderId="18" xfId="2" applyFont="1" applyFill="1" applyBorder="1" applyAlignment="1">
      <alignment horizontal="center"/>
    </xf>
    <xf numFmtId="0" fontId="5" fillId="0" borderId="19" xfId="2" applyFont="1" applyBorder="1" applyAlignment="1">
      <alignment horizontal="center"/>
    </xf>
    <xf numFmtId="0" fontId="5" fillId="4" borderId="19" xfId="2" quotePrefix="1" applyFont="1" applyFill="1" applyBorder="1" applyAlignment="1">
      <alignment horizontal="center"/>
    </xf>
    <xf numFmtId="0" fontId="5" fillId="5" borderId="20" xfId="2" applyFont="1" applyFill="1" applyBorder="1" applyAlignment="1">
      <alignment horizontal="center"/>
    </xf>
    <xf numFmtId="0" fontId="5" fillId="0" borderId="22" xfId="2" applyFont="1" applyBorder="1" applyAlignment="1">
      <alignment horizontal="center"/>
    </xf>
    <xf numFmtId="0" fontId="15" fillId="2" borderId="28" xfId="2" applyFont="1" applyFill="1" applyBorder="1" applyAlignment="1">
      <alignment horizontal="center"/>
    </xf>
    <xf numFmtId="0" fontId="5" fillId="4" borderId="10" xfId="2" applyFont="1" applyFill="1" applyBorder="1" applyAlignment="1">
      <alignment horizontal="center"/>
    </xf>
    <xf numFmtId="0" fontId="5" fillId="6" borderId="4" xfId="2" applyFont="1" applyFill="1" applyBorder="1" applyAlignment="1">
      <alignment horizontal="center"/>
    </xf>
    <xf numFmtId="0" fontId="5" fillId="4" borderId="4" xfId="2" quotePrefix="1" applyFont="1" applyFill="1" applyBorder="1" applyAlignment="1">
      <alignment horizontal="center"/>
    </xf>
    <xf numFmtId="0" fontId="5" fillId="0" borderId="4" xfId="2" applyFont="1" applyBorder="1" applyAlignment="1">
      <alignment horizontal="center"/>
    </xf>
    <xf numFmtId="0" fontId="5" fillId="4" borderId="4" xfId="2" applyFont="1" applyFill="1" applyBorder="1" applyAlignment="1">
      <alignment horizontal="center"/>
    </xf>
    <xf numFmtId="0" fontId="5" fillId="0" borderId="28" xfId="2" applyFont="1" applyBorder="1" applyAlignment="1">
      <alignment horizontal="center"/>
    </xf>
    <xf numFmtId="49" fontId="4" fillId="2" borderId="33" xfId="2" applyNumberFormat="1" applyFont="1" applyFill="1" applyBorder="1" applyAlignment="1">
      <alignment horizontal="center" wrapText="1"/>
    </xf>
    <xf numFmtId="0" fontId="5" fillId="5" borderId="8" xfId="2" applyFont="1" applyFill="1" applyBorder="1" applyAlignment="1">
      <alignment horizontal="center"/>
    </xf>
    <xf numFmtId="0" fontId="5" fillId="9" borderId="32" xfId="2" applyFont="1" applyFill="1" applyBorder="1" applyAlignment="1">
      <alignment horizontal="center"/>
    </xf>
    <xf numFmtId="0" fontId="5" fillId="5" borderId="24" xfId="2" applyFont="1" applyFill="1" applyBorder="1" applyAlignment="1">
      <alignment horizontal="center"/>
    </xf>
    <xf numFmtId="0" fontId="5" fillId="0" borderId="26" xfId="2" applyFont="1" applyBorder="1" applyAlignment="1">
      <alignment horizontal="center"/>
    </xf>
    <xf numFmtId="17" fontId="5" fillId="0" borderId="19" xfId="2" quotePrefix="1" applyNumberFormat="1" applyFont="1" applyBorder="1" applyAlignment="1">
      <alignment horizontal="center"/>
    </xf>
    <xf numFmtId="0" fontId="5" fillId="4" borderId="19" xfId="2" applyFont="1" applyFill="1" applyBorder="1" applyAlignment="1">
      <alignment horizontal="center"/>
    </xf>
    <xf numFmtId="0" fontId="5" fillId="10" borderId="19" xfId="2" applyFont="1" applyFill="1" applyBorder="1" applyAlignment="1">
      <alignment horizontal="center"/>
    </xf>
    <xf numFmtId="165" fontId="5" fillId="0" borderId="19" xfId="2" applyNumberFormat="1" applyFont="1" applyBorder="1" applyAlignment="1">
      <alignment horizontal="center"/>
    </xf>
    <xf numFmtId="166" fontId="5" fillId="0" borderId="19" xfId="2" applyNumberFormat="1" applyFont="1" applyBorder="1" applyAlignment="1">
      <alignment horizontal="center"/>
    </xf>
    <xf numFmtId="0" fontId="5" fillId="0" borderId="10" xfId="2" applyFont="1" applyBorder="1" applyAlignment="1">
      <alignment horizontal="center"/>
    </xf>
    <xf numFmtId="166" fontId="5" fillId="4" borderId="4" xfId="2" applyNumberFormat="1" applyFont="1" applyFill="1" applyBorder="1" applyAlignment="1">
      <alignment horizontal="center"/>
    </xf>
    <xf numFmtId="166" fontId="5" fillId="0" borderId="4" xfId="2" applyNumberFormat="1" applyFont="1" applyBorder="1" applyAlignment="1">
      <alignment horizontal="center"/>
    </xf>
    <xf numFmtId="49" fontId="4" fillId="2" borderId="20" xfId="2" applyNumberFormat="1" applyFont="1" applyFill="1" applyBorder="1" applyAlignment="1">
      <alignment horizontal="center" wrapText="1"/>
    </xf>
    <xf numFmtId="165" fontId="5" fillId="0" borderId="26" xfId="2" applyNumberFormat="1" applyFont="1" applyBorder="1" applyAlignment="1">
      <alignment horizontal="center"/>
    </xf>
    <xf numFmtId="165" fontId="5" fillId="4" borderId="19" xfId="2" applyNumberFormat="1" applyFont="1" applyFill="1" applyBorder="1" applyAlignment="1">
      <alignment horizontal="center"/>
    </xf>
    <xf numFmtId="165" fontId="5" fillId="0" borderId="10" xfId="2" applyNumberFormat="1" applyFont="1" applyBorder="1" applyAlignment="1">
      <alignment horizontal="center"/>
    </xf>
    <xf numFmtId="165" fontId="5" fillId="4" borderId="4" xfId="2" applyNumberFormat="1" applyFont="1" applyFill="1" applyBorder="1" applyAlignment="1">
      <alignment horizontal="center"/>
    </xf>
    <xf numFmtId="165" fontId="5" fillId="0" borderId="4" xfId="2" applyNumberFormat="1" applyFont="1" applyBorder="1" applyAlignment="1">
      <alignment horizontal="center"/>
    </xf>
    <xf numFmtId="165" fontId="5" fillId="6" borderId="4" xfId="2" applyNumberFormat="1" applyFont="1" applyFill="1" applyBorder="1" applyAlignment="1">
      <alignment horizontal="center"/>
    </xf>
    <xf numFmtId="165" fontId="5" fillId="4" borderId="4" xfId="2" quotePrefix="1" applyNumberFormat="1" applyFont="1" applyFill="1" applyBorder="1" applyAlignment="1">
      <alignment horizontal="center"/>
    </xf>
    <xf numFmtId="165" fontId="5" fillId="0" borderId="28" xfId="2" applyNumberFormat="1" applyFont="1" applyBorder="1" applyAlignment="1">
      <alignment horizontal="center"/>
    </xf>
    <xf numFmtId="0" fontId="5" fillId="7" borderId="8" xfId="2" applyFont="1" applyFill="1" applyBorder="1" applyAlignment="1">
      <alignment horizontal="center"/>
    </xf>
    <xf numFmtId="0" fontId="5" fillId="8" borderId="32" xfId="2" applyFont="1" applyFill="1" applyBorder="1" applyAlignment="1">
      <alignment horizontal="center"/>
    </xf>
    <xf numFmtId="0" fontId="5" fillId="7" borderId="32" xfId="2" applyFont="1" applyFill="1" applyBorder="1" applyAlignment="1">
      <alignment horizontal="center"/>
    </xf>
    <xf numFmtId="0" fontId="5" fillId="7" borderId="33" xfId="2" applyFont="1" applyFill="1" applyBorder="1" applyAlignment="1">
      <alignment horizontal="center"/>
    </xf>
    <xf numFmtId="166" fontId="5" fillId="0" borderId="10" xfId="2" applyNumberFormat="1" applyFont="1" applyBorder="1" applyAlignment="1">
      <alignment horizontal="center"/>
    </xf>
    <xf numFmtId="166" fontId="5" fillId="6" borderId="4" xfId="2" applyNumberFormat="1" applyFont="1" applyFill="1" applyBorder="1" applyAlignment="1">
      <alignment horizontal="center"/>
    </xf>
    <xf numFmtId="166" fontId="5" fillId="6" borderId="4" xfId="2" quotePrefix="1" applyNumberFormat="1" applyFont="1" applyFill="1" applyBorder="1" applyAlignment="1">
      <alignment horizontal="center"/>
    </xf>
    <xf numFmtId="0" fontId="5" fillId="8" borderId="24" xfId="2" applyFont="1" applyFill="1" applyBorder="1" applyAlignment="1">
      <alignment horizontal="center"/>
    </xf>
    <xf numFmtId="0" fontId="5" fillId="8" borderId="18" xfId="2" applyFont="1" applyFill="1" applyBorder="1" applyAlignment="1">
      <alignment horizontal="center"/>
    </xf>
    <xf numFmtId="0" fontId="5" fillId="7" borderId="18" xfId="2" applyFont="1" applyFill="1" applyBorder="1" applyAlignment="1">
      <alignment horizontal="center"/>
    </xf>
    <xf numFmtId="0" fontId="5" fillId="7" borderId="20" xfId="2" applyFont="1" applyFill="1" applyBorder="1" applyAlignment="1">
      <alignment horizontal="center"/>
    </xf>
    <xf numFmtId="0" fontId="18" fillId="15" borderId="11" xfId="1" applyFont="1" applyFill="1" applyBorder="1" applyAlignment="1">
      <alignment horizontal="center"/>
    </xf>
    <xf numFmtId="0" fontId="18" fillId="15" borderId="7" xfId="1" applyFont="1" applyFill="1" applyBorder="1" applyAlignment="1">
      <alignment horizontal="center"/>
    </xf>
    <xf numFmtId="0" fontId="18" fillId="15" borderId="12" xfId="1" applyFont="1" applyFill="1" applyBorder="1" applyAlignment="1">
      <alignment horizontal="center"/>
    </xf>
    <xf numFmtId="0" fontId="18" fillId="14" borderId="11" xfId="1" applyFont="1" applyFill="1" applyBorder="1" applyAlignment="1">
      <alignment horizontal="center"/>
    </xf>
    <xf numFmtId="0" fontId="18" fillId="14" borderId="7" xfId="1" applyFont="1" applyFill="1" applyBorder="1" applyAlignment="1">
      <alignment horizontal="center"/>
    </xf>
    <xf numFmtId="0" fontId="18" fillId="14" borderId="12" xfId="1" applyFont="1" applyFill="1" applyBorder="1" applyAlignment="1">
      <alignment horizontal="center"/>
    </xf>
    <xf numFmtId="0" fontId="18" fillId="7" borderId="11" xfId="1" applyFont="1" applyFill="1" applyBorder="1" applyAlignment="1">
      <alignment horizontal="center"/>
    </xf>
    <xf numFmtId="0" fontId="18" fillId="7" borderId="7" xfId="1" applyFont="1" applyFill="1" applyBorder="1" applyAlignment="1">
      <alignment horizontal="center"/>
    </xf>
    <xf numFmtId="0" fontId="18" fillId="7" borderId="12" xfId="1" applyFont="1" applyFill="1" applyBorder="1" applyAlignment="1">
      <alignment horizontal="center"/>
    </xf>
    <xf numFmtId="0" fontId="18" fillId="16" borderId="11" xfId="1" applyFont="1" applyFill="1" applyBorder="1" applyAlignment="1">
      <alignment horizontal="center"/>
    </xf>
    <xf numFmtId="0" fontId="18" fillId="16" borderId="7" xfId="1" applyFont="1" applyFill="1" applyBorder="1" applyAlignment="1">
      <alignment horizontal="center"/>
    </xf>
    <xf numFmtId="0" fontId="18" fillId="16" borderId="12" xfId="1" applyFont="1" applyFill="1" applyBorder="1" applyAlignment="1">
      <alignment horizontal="center"/>
    </xf>
    <xf numFmtId="0" fontId="12" fillId="14" borderId="5" xfId="1" applyFont="1" applyFill="1" applyBorder="1" applyAlignment="1">
      <alignment horizontal="center" vertical="center" wrapText="1"/>
    </xf>
    <xf numFmtId="0" fontId="12" fillId="14" borderId="6" xfId="1" applyFont="1" applyFill="1" applyBorder="1" applyAlignment="1">
      <alignment horizontal="center" vertical="center" wrapText="1"/>
    </xf>
    <xf numFmtId="0" fontId="12" fillId="15" borderId="27" xfId="1" applyFont="1" applyFill="1" applyBorder="1" applyAlignment="1">
      <alignment horizontal="center" vertical="center"/>
    </xf>
    <xf numFmtId="0" fontId="12" fillId="15" borderId="5" xfId="1" applyFont="1" applyFill="1" applyBorder="1" applyAlignment="1">
      <alignment horizontal="center" vertical="center"/>
    </xf>
    <xf numFmtId="0" fontId="12" fillId="15" borderId="6" xfId="1" applyFont="1" applyFill="1" applyBorder="1" applyAlignment="1">
      <alignment horizontal="center" vertical="center"/>
    </xf>
    <xf numFmtId="0" fontId="4" fillId="2" borderId="15" xfId="2" applyFont="1" applyFill="1" applyBorder="1" applyAlignment="1">
      <alignment horizontal="center" vertical="center" wrapText="1"/>
    </xf>
    <xf numFmtId="0" fontId="4" fillId="2" borderId="17" xfId="2" applyFont="1" applyFill="1" applyBorder="1" applyAlignment="1">
      <alignment horizontal="center" vertical="center" wrapText="1"/>
    </xf>
    <xf numFmtId="0" fontId="4" fillId="2" borderId="31" xfId="2" applyFont="1" applyFill="1" applyBorder="1" applyAlignment="1">
      <alignment horizontal="center" vertical="center" wrapText="1"/>
    </xf>
    <xf numFmtId="0" fontId="4" fillId="2" borderId="16" xfId="2" applyFont="1" applyFill="1" applyBorder="1" applyAlignment="1">
      <alignment horizontal="center" vertical="center" wrapText="1"/>
    </xf>
    <xf numFmtId="0" fontId="4" fillId="2" borderId="31" xfId="2" applyFont="1" applyFill="1" applyBorder="1" applyAlignment="1">
      <alignment horizontal="center" vertical="center"/>
    </xf>
    <xf numFmtId="0" fontId="4" fillId="2" borderId="16" xfId="2" applyFont="1" applyFill="1" applyBorder="1" applyAlignment="1">
      <alignment horizontal="center" vertical="center"/>
    </xf>
    <xf numFmtId="0" fontId="18" fillId="7" borderId="27" xfId="1" applyFont="1" applyFill="1" applyBorder="1" applyAlignment="1">
      <alignment horizontal="center" vertical="center" wrapText="1"/>
    </xf>
    <xf numFmtId="0" fontId="18" fillId="14" borderId="27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40"/>
  <sheetViews>
    <sheetView tabSelected="1" zoomScaleNormal="100" workbookViewId="0"/>
  </sheetViews>
  <sheetFormatPr baseColWidth="10" defaultColWidth="10.28515625" defaultRowHeight="15"/>
  <cols>
    <col min="1" max="1" width="21.7109375" style="2" bestFit="1" customWidth="1"/>
    <col min="2" max="2" width="6.28515625" style="2" bestFit="1" customWidth="1"/>
    <col min="3" max="3" width="20.28515625" style="2" bestFit="1" customWidth="1"/>
    <col min="4" max="4" width="22.42578125" style="2" bestFit="1" customWidth="1"/>
    <col min="5" max="6" width="30.85546875" style="2" bestFit="1" customWidth="1"/>
    <col min="7" max="7" width="29.7109375" style="2" bestFit="1" customWidth="1"/>
    <col min="8" max="8" width="23.85546875" style="2" bestFit="1" customWidth="1"/>
    <col min="9" max="9" width="21.140625" style="2" customWidth="1"/>
    <col min="10" max="10" width="21" style="2" customWidth="1"/>
    <col min="11" max="11" width="65.42578125" style="2" bestFit="1" customWidth="1"/>
    <col min="12" max="12" width="46.42578125" style="2" bestFit="1" customWidth="1"/>
    <col min="13" max="13" width="29.140625" style="2" customWidth="1"/>
    <col min="14" max="14" width="13" style="2" bestFit="1" customWidth="1"/>
    <col min="15" max="15" width="10.42578125" style="2" customWidth="1"/>
    <col min="16" max="16" width="19.85546875" style="2" customWidth="1"/>
    <col min="17" max="17" width="13" style="2" bestFit="1" customWidth="1"/>
    <col min="18" max="18" width="10.85546875" style="2" customWidth="1"/>
    <col min="19" max="19" width="11" style="2" customWidth="1"/>
    <col min="20" max="20" width="10.28515625" style="2"/>
    <col min="21" max="21" width="11.42578125" style="2" customWidth="1"/>
    <col min="22" max="22" width="10.42578125" style="2" bestFit="1" customWidth="1"/>
    <col min="23" max="23" width="11.28515625" style="2" customWidth="1"/>
    <col min="24" max="25" width="10.42578125" style="2" bestFit="1" customWidth="1"/>
    <col min="26" max="26" width="21.28515625" style="2" customWidth="1"/>
    <col min="27" max="27" width="18.140625" style="2" customWidth="1"/>
    <col min="28" max="28" width="22.28515625" style="2" customWidth="1"/>
    <col min="29" max="29" width="28.85546875" style="2" customWidth="1"/>
    <col min="30" max="30" width="16.5703125" style="2" customWidth="1"/>
    <col min="31" max="31" width="20.5703125" style="2" customWidth="1"/>
    <col min="32" max="32" width="20.42578125" style="2" customWidth="1"/>
    <col min="33" max="33" width="18.140625" style="2" customWidth="1"/>
    <col min="34" max="34" width="24.140625" style="2" customWidth="1"/>
    <col min="35" max="35" width="21.28515625" style="2" customWidth="1"/>
    <col min="36" max="36" width="15.140625" style="2" customWidth="1"/>
    <col min="37" max="37" width="23.28515625" style="2" customWidth="1"/>
    <col min="38" max="38" width="26" style="2" customWidth="1"/>
    <col min="39" max="39" width="24.42578125" style="2" customWidth="1"/>
    <col min="40" max="16384" width="10.28515625" style="2"/>
  </cols>
  <sheetData>
    <row r="1" spans="1:40" s="6" customFormat="1" ht="15.75">
      <c r="A1" s="21" t="s">
        <v>466</v>
      </c>
    </row>
    <row r="2" spans="1:40" ht="15.75" thickBot="1"/>
    <row r="3" spans="1:40" s="50" customFormat="1" ht="15.75" thickBot="1">
      <c r="A3" s="148"/>
      <c r="B3" s="149"/>
      <c r="C3" s="150"/>
      <c r="D3" s="238" t="s">
        <v>0</v>
      </c>
      <c r="E3" s="239"/>
      <c r="F3" s="239"/>
      <c r="G3" s="239"/>
      <c r="H3" s="239"/>
      <c r="I3" s="239"/>
      <c r="J3" s="239"/>
      <c r="K3" s="239"/>
      <c r="L3" s="240"/>
      <c r="M3" s="241" t="s">
        <v>1</v>
      </c>
      <c r="N3" s="242"/>
      <c r="O3" s="242"/>
      <c r="P3" s="242"/>
      <c r="Q3" s="242"/>
      <c r="R3" s="242"/>
      <c r="S3" s="242"/>
      <c r="T3" s="242"/>
      <c r="U3" s="242"/>
      <c r="V3" s="242"/>
      <c r="W3" s="242"/>
      <c r="X3" s="242"/>
      <c r="Y3" s="243"/>
      <c r="Z3" s="244" t="s">
        <v>2</v>
      </c>
      <c r="AA3" s="245"/>
      <c r="AB3" s="245"/>
      <c r="AC3" s="245"/>
      <c r="AD3" s="245"/>
      <c r="AE3" s="245"/>
      <c r="AF3" s="245"/>
      <c r="AG3" s="245"/>
      <c r="AH3" s="245"/>
      <c r="AI3" s="246"/>
      <c r="AJ3" s="235" t="s">
        <v>354</v>
      </c>
      <c r="AK3" s="236"/>
      <c r="AL3" s="236"/>
      <c r="AM3" s="237"/>
    </row>
    <row r="4" spans="1:40" s="50" customFormat="1" ht="90.75" thickBot="1">
      <c r="A4" s="124" t="s">
        <v>224</v>
      </c>
      <c r="B4" s="125" t="s">
        <v>3</v>
      </c>
      <c r="C4" s="126" t="s">
        <v>4</v>
      </c>
      <c r="D4" s="259" t="s">
        <v>493</v>
      </c>
      <c r="E4" s="127" t="s">
        <v>494</v>
      </c>
      <c r="F4" s="127" t="s">
        <v>495</v>
      </c>
      <c r="G4" s="127" t="s">
        <v>496</v>
      </c>
      <c r="H4" s="127" t="s">
        <v>497</v>
      </c>
      <c r="I4" s="127" t="s">
        <v>487</v>
      </c>
      <c r="J4" s="127" t="s">
        <v>486</v>
      </c>
      <c r="K4" s="127" t="s">
        <v>498</v>
      </c>
      <c r="L4" s="46" t="s">
        <v>499</v>
      </c>
      <c r="M4" s="258" t="s">
        <v>490</v>
      </c>
      <c r="N4" s="47" t="s">
        <v>491</v>
      </c>
      <c r="O4" s="47" t="s">
        <v>492</v>
      </c>
      <c r="P4" s="47" t="s">
        <v>485</v>
      </c>
      <c r="Q4" s="47" t="s">
        <v>484</v>
      </c>
      <c r="R4" s="47" t="s">
        <v>483</v>
      </c>
      <c r="S4" s="47" t="s">
        <v>482</v>
      </c>
      <c r="T4" s="47" t="s">
        <v>481</v>
      </c>
      <c r="U4" s="47" t="s">
        <v>480</v>
      </c>
      <c r="V4" s="47" t="s">
        <v>479</v>
      </c>
      <c r="W4" s="47" t="s">
        <v>500</v>
      </c>
      <c r="X4" s="47" t="s">
        <v>478</v>
      </c>
      <c r="Y4" s="48" t="s">
        <v>477</v>
      </c>
      <c r="Z4" s="136" t="s">
        <v>476</v>
      </c>
      <c r="AA4" s="128" t="s">
        <v>475</v>
      </c>
      <c r="AB4" s="128" t="s">
        <v>474</v>
      </c>
      <c r="AC4" s="128" t="s">
        <v>469</v>
      </c>
      <c r="AD4" s="128" t="s">
        <v>460</v>
      </c>
      <c r="AE4" s="128" t="s">
        <v>467</v>
      </c>
      <c r="AF4" s="128" t="s">
        <v>501</v>
      </c>
      <c r="AG4" s="128" t="s">
        <v>5</v>
      </c>
      <c r="AH4" s="128" t="s">
        <v>468</v>
      </c>
      <c r="AI4" s="53" t="s">
        <v>470</v>
      </c>
      <c r="AJ4" s="144" t="s">
        <v>6</v>
      </c>
      <c r="AK4" s="49" t="s">
        <v>471</v>
      </c>
      <c r="AL4" s="49" t="s">
        <v>472</v>
      </c>
      <c r="AM4" s="52" t="s">
        <v>473</v>
      </c>
      <c r="AN4" s="51"/>
    </row>
    <row r="5" spans="1:40">
      <c r="A5" s="110" t="s">
        <v>7</v>
      </c>
      <c r="B5" s="111">
        <v>2013</v>
      </c>
      <c r="C5" s="112" t="s">
        <v>8</v>
      </c>
      <c r="D5" s="113">
        <v>1</v>
      </c>
      <c r="E5" s="114">
        <v>1</v>
      </c>
      <c r="F5" s="114" t="s">
        <v>9</v>
      </c>
      <c r="G5" s="114" t="s">
        <v>9</v>
      </c>
      <c r="H5" s="115">
        <v>1</v>
      </c>
      <c r="I5" s="115">
        <v>1</v>
      </c>
      <c r="J5" s="115">
        <v>1</v>
      </c>
      <c r="K5" s="114" t="s">
        <v>352</v>
      </c>
      <c r="L5" s="116">
        <v>1</v>
      </c>
      <c r="M5" s="129">
        <v>3645937</v>
      </c>
      <c r="N5" s="117">
        <v>3690706</v>
      </c>
      <c r="O5" s="117">
        <v>3690711</v>
      </c>
      <c r="P5" s="117">
        <v>3690709</v>
      </c>
      <c r="Q5" s="117">
        <v>3560823</v>
      </c>
      <c r="R5" s="117">
        <v>3560828</v>
      </c>
      <c r="S5" s="117">
        <v>3560826</v>
      </c>
      <c r="T5" s="117" t="s">
        <v>10</v>
      </c>
      <c r="U5" s="117">
        <v>38.33</v>
      </c>
      <c r="V5" s="117">
        <v>38.33</v>
      </c>
      <c r="W5" s="117">
        <v>38.340000000000003</v>
      </c>
      <c r="X5" s="118">
        <v>74</v>
      </c>
      <c r="Y5" s="130">
        <v>2</v>
      </c>
      <c r="Z5" s="137" t="s">
        <v>11</v>
      </c>
      <c r="AA5" s="120" t="s">
        <v>12</v>
      </c>
      <c r="AB5" s="121" t="s">
        <v>13</v>
      </c>
      <c r="AC5" s="120" t="s">
        <v>14</v>
      </c>
      <c r="AD5" s="119" t="s">
        <v>15</v>
      </c>
      <c r="AE5" s="120" t="s">
        <v>325</v>
      </c>
      <c r="AF5" s="120">
        <f>545439740/O5</f>
        <v>147.78717163169915</v>
      </c>
      <c r="AG5" s="120" t="s">
        <v>16</v>
      </c>
      <c r="AH5" s="120" t="s">
        <v>17</v>
      </c>
      <c r="AI5" s="138" t="s">
        <v>18</v>
      </c>
      <c r="AJ5" s="145" t="s">
        <v>19</v>
      </c>
      <c r="AK5" s="122" t="s">
        <v>20</v>
      </c>
      <c r="AL5" s="122" t="s">
        <v>21</v>
      </c>
      <c r="AM5" s="123" t="s">
        <v>22</v>
      </c>
    </row>
    <row r="6" spans="1:40">
      <c r="A6" s="81" t="s">
        <v>23</v>
      </c>
      <c r="B6" s="69">
        <v>2005</v>
      </c>
      <c r="C6" s="98" t="s">
        <v>24</v>
      </c>
      <c r="D6" s="102">
        <v>15</v>
      </c>
      <c r="E6" s="70">
        <v>15</v>
      </c>
      <c r="F6" s="70" t="s">
        <v>9</v>
      </c>
      <c r="G6" s="70" t="s">
        <v>9</v>
      </c>
      <c r="H6" s="78">
        <v>15</v>
      </c>
      <c r="I6" s="78">
        <v>15</v>
      </c>
      <c r="J6" s="78">
        <v>15</v>
      </c>
      <c r="K6" s="78">
        <v>15</v>
      </c>
      <c r="L6" s="103">
        <v>15</v>
      </c>
      <c r="M6" s="131">
        <v>3378608</v>
      </c>
      <c r="N6" s="72">
        <v>3431561</v>
      </c>
      <c r="O6" s="72">
        <v>3431568</v>
      </c>
      <c r="P6" s="72">
        <v>3431564</v>
      </c>
      <c r="Q6" s="72">
        <v>3363416</v>
      </c>
      <c r="R6" s="72">
        <v>3363423</v>
      </c>
      <c r="S6" s="72">
        <v>3363419</v>
      </c>
      <c r="T6" s="72" t="s">
        <v>25</v>
      </c>
      <c r="U6" s="72">
        <v>38.380000000000003</v>
      </c>
      <c r="V6" s="72">
        <v>38.39</v>
      </c>
      <c r="W6" s="72">
        <v>38.39</v>
      </c>
      <c r="X6" s="73">
        <v>53</v>
      </c>
      <c r="Y6" s="132">
        <v>2</v>
      </c>
      <c r="Z6" s="139" t="s">
        <v>11</v>
      </c>
      <c r="AA6" s="74" t="s">
        <v>26</v>
      </c>
      <c r="AB6" s="76" t="s">
        <v>27</v>
      </c>
      <c r="AC6" s="75" t="s">
        <v>14</v>
      </c>
      <c r="AD6" s="74" t="s">
        <v>15</v>
      </c>
      <c r="AE6" s="75" t="s">
        <v>325</v>
      </c>
      <c r="AF6" s="75">
        <f>443015004/O6</f>
        <v>129.09987620819405</v>
      </c>
      <c r="AG6" s="75" t="s">
        <v>16</v>
      </c>
      <c r="AH6" s="75" t="s">
        <v>17</v>
      </c>
      <c r="AI6" s="140" t="s">
        <v>18</v>
      </c>
      <c r="AJ6" s="146" t="s">
        <v>19</v>
      </c>
      <c r="AK6" s="79" t="s">
        <v>28</v>
      </c>
      <c r="AL6" s="79" t="s">
        <v>29</v>
      </c>
      <c r="AM6" s="83" t="s">
        <v>30</v>
      </c>
    </row>
    <row r="7" spans="1:40">
      <c r="A7" s="81" t="s">
        <v>31</v>
      </c>
      <c r="B7" s="69">
        <v>2022</v>
      </c>
      <c r="C7" s="98" t="s">
        <v>32</v>
      </c>
      <c r="D7" s="104">
        <v>20</v>
      </c>
      <c r="E7" s="71">
        <v>20</v>
      </c>
      <c r="F7" s="70" t="s">
        <v>9</v>
      </c>
      <c r="G7" s="70" t="s">
        <v>9</v>
      </c>
      <c r="H7" s="71">
        <v>20</v>
      </c>
      <c r="I7" s="71">
        <v>20</v>
      </c>
      <c r="J7" s="71">
        <v>20</v>
      </c>
      <c r="K7" s="71">
        <v>20</v>
      </c>
      <c r="L7" s="105">
        <v>20</v>
      </c>
      <c r="M7" s="131">
        <v>3540299</v>
      </c>
      <c r="N7" s="72">
        <v>3437984</v>
      </c>
      <c r="O7" s="72">
        <v>3438149</v>
      </c>
      <c r="P7" s="72">
        <v>3438462</v>
      </c>
      <c r="Q7" s="72">
        <v>3437984</v>
      </c>
      <c r="R7" s="72">
        <v>3438149</v>
      </c>
      <c r="S7" s="72">
        <v>3438462</v>
      </c>
      <c r="T7" s="73" t="s">
        <v>33</v>
      </c>
      <c r="U7" s="73">
        <v>38.4</v>
      </c>
      <c r="V7" s="73">
        <v>38.4</v>
      </c>
      <c r="W7" s="73">
        <v>38.4</v>
      </c>
      <c r="X7" s="73">
        <v>74</v>
      </c>
      <c r="Y7" s="132">
        <v>1</v>
      </c>
      <c r="Z7" s="141" t="s">
        <v>11</v>
      </c>
      <c r="AA7" s="75" t="s">
        <v>12</v>
      </c>
      <c r="AB7" s="76">
        <v>154.16499999999999</v>
      </c>
      <c r="AC7" s="75" t="s">
        <v>14</v>
      </c>
      <c r="AD7" s="75" t="s">
        <v>34</v>
      </c>
      <c r="AE7" s="75" t="s">
        <v>324</v>
      </c>
      <c r="AF7" s="75">
        <f>4435155667/O23</f>
        <v>1265.6475827407685</v>
      </c>
      <c r="AG7" s="75" t="s">
        <v>35</v>
      </c>
      <c r="AH7" s="75" t="s">
        <v>17</v>
      </c>
      <c r="AI7" s="140" t="s">
        <v>18</v>
      </c>
      <c r="AJ7" s="146" t="s">
        <v>19</v>
      </c>
      <c r="AK7" s="77" t="s">
        <v>36</v>
      </c>
      <c r="AL7" s="77" t="s">
        <v>37</v>
      </c>
      <c r="AM7" s="82" t="s">
        <v>38</v>
      </c>
    </row>
    <row r="8" spans="1:40">
      <c r="A8" s="81" t="s">
        <v>39</v>
      </c>
      <c r="B8" s="69">
        <v>2021</v>
      </c>
      <c r="C8" s="98" t="s">
        <v>40</v>
      </c>
      <c r="D8" s="106">
        <v>62</v>
      </c>
      <c r="E8" s="70">
        <v>62</v>
      </c>
      <c r="F8" s="70" t="s">
        <v>9</v>
      </c>
      <c r="G8" s="70" t="s">
        <v>9</v>
      </c>
      <c r="H8" s="71">
        <v>62</v>
      </c>
      <c r="I8" s="71">
        <v>62</v>
      </c>
      <c r="J8" s="71">
        <v>62</v>
      </c>
      <c r="K8" s="71">
        <v>62</v>
      </c>
      <c r="L8" s="105">
        <v>62</v>
      </c>
      <c r="M8" s="131">
        <v>3619346</v>
      </c>
      <c r="N8" s="72">
        <v>3671800</v>
      </c>
      <c r="O8" s="72">
        <v>3671803</v>
      </c>
      <c r="P8" s="72">
        <v>3671802</v>
      </c>
      <c r="Q8" s="72">
        <v>3528101</v>
      </c>
      <c r="R8" s="72">
        <v>3528104</v>
      </c>
      <c r="S8" s="72">
        <v>3528103</v>
      </c>
      <c r="T8" s="72" t="s">
        <v>33</v>
      </c>
      <c r="U8" s="72">
        <v>38.380000000000003</v>
      </c>
      <c r="V8" s="72">
        <v>38.380000000000003</v>
      </c>
      <c r="W8" s="72">
        <v>38.380000000000003</v>
      </c>
      <c r="X8" s="73">
        <v>77</v>
      </c>
      <c r="Y8" s="132">
        <v>2</v>
      </c>
      <c r="Z8" s="139" t="s">
        <v>11</v>
      </c>
      <c r="AA8" s="75" t="s">
        <v>12</v>
      </c>
      <c r="AB8" s="76" t="s">
        <v>41</v>
      </c>
      <c r="AC8" s="75" t="s">
        <v>14</v>
      </c>
      <c r="AD8" s="74" t="s">
        <v>15</v>
      </c>
      <c r="AE8" s="75" t="s">
        <v>325</v>
      </c>
      <c r="AF8" s="75">
        <f>1859545005/O8</f>
        <v>506.43920847605386</v>
      </c>
      <c r="AG8" s="75" t="s">
        <v>16</v>
      </c>
      <c r="AH8" s="75" t="s">
        <v>17</v>
      </c>
      <c r="AI8" s="140" t="s">
        <v>18</v>
      </c>
      <c r="AJ8" s="146" t="s">
        <v>19</v>
      </c>
      <c r="AK8" s="77" t="s">
        <v>42</v>
      </c>
      <c r="AL8" s="77" t="s">
        <v>43</v>
      </c>
      <c r="AM8" s="82" t="s">
        <v>44</v>
      </c>
    </row>
    <row r="9" spans="1:40">
      <c r="A9" s="81" t="s">
        <v>45</v>
      </c>
      <c r="B9" s="69">
        <v>2011</v>
      </c>
      <c r="C9" s="98" t="s">
        <v>24</v>
      </c>
      <c r="D9" s="104">
        <v>62</v>
      </c>
      <c r="E9" s="70">
        <v>62</v>
      </c>
      <c r="F9" s="70" t="s">
        <v>9</v>
      </c>
      <c r="G9" s="70" t="s">
        <v>9</v>
      </c>
      <c r="H9" s="71">
        <v>62</v>
      </c>
      <c r="I9" s="71">
        <v>62</v>
      </c>
      <c r="J9" s="71">
        <v>62</v>
      </c>
      <c r="K9" s="71">
        <v>62</v>
      </c>
      <c r="L9" s="105">
        <v>62</v>
      </c>
      <c r="M9" s="131">
        <v>3487223</v>
      </c>
      <c r="N9" s="72">
        <v>3541845</v>
      </c>
      <c r="O9" s="72">
        <v>3541850</v>
      </c>
      <c r="P9" s="72">
        <v>3541831</v>
      </c>
      <c r="Q9" s="72">
        <v>3470271</v>
      </c>
      <c r="R9" s="72">
        <v>3470276</v>
      </c>
      <c r="S9" s="72">
        <v>3470257</v>
      </c>
      <c r="T9" s="72" t="s">
        <v>46</v>
      </c>
      <c r="U9" s="72">
        <v>38.42</v>
      </c>
      <c r="V9" s="72">
        <v>38.42</v>
      </c>
      <c r="W9" s="72">
        <v>38.42</v>
      </c>
      <c r="X9" s="73">
        <v>71</v>
      </c>
      <c r="Y9" s="132">
        <v>2</v>
      </c>
      <c r="Z9" s="139" t="s">
        <v>11</v>
      </c>
      <c r="AA9" s="75" t="s">
        <v>12</v>
      </c>
      <c r="AB9" s="76" t="s">
        <v>47</v>
      </c>
      <c r="AC9" s="75" t="s">
        <v>14</v>
      </c>
      <c r="AD9" s="74" t="s">
        <v>15</v>
      </c>
      <c r="AE9" s="75" t="s">
        <v>325</v>
      </c>
      <c r="AF9" s="75">
        <f>474973376/O9</f>
        <v>134.10318788203904</v>
      </c>
      <c r="AG9" s="75" t="s">
        <v>16</v>
      </c>
      <c r="AH9" s="75" t="s">
        <v>17</v>
      </c>
      <c r="AI9" s="140" t="s">
        <v>18</v>
      </c>
      <c r="AJ9" s="146" t="s">
        <v>19</v>
      </c>
      <c r="AK9" s="77" t="s">
        <v>48</v>
      </c>
      <c r="AL9" s="77" t="s">
        <v>49</v>
      </c>
      <c r="AM9" s="82" t="s">
        <v>50</v>
      </c>
    </row>
    <row r="10" spans="1:40">
      <c r="A10" s="81" t="s">
        <v>51</v>
      </c>
      <c r="B10" s="69">
        <v>2013</v>
      </c>
      <c r="C10" s="98" t="s">
        <v>8</v>
      </c>
      <c r="D10" s="100">
        <v>68</v>
      </c>
      <c r="E10" s="70">
        <v>68</v>
      </c>
      <c r="F10" s="70">
        <v>68</v>
      </c>
      <c r="G10" s="70">
        <v>68</v>
      </c>
      <c r="H10" s="71">
        <v>68</v>
      </c>
      <c r="I10" s="71">
        <v>68</v>
      </c>
      <c r="J10" s="71">
        <v>68</v>
      </c>
      <c r="K10" s="71">
        <v>68</v>
      </c>
      <c r="L10" s="105">
        <v>68</v>
      </c>
      <c r="M10" s="131">
        <v>3360744</v>
      </c>
      <c r="N10" s="72">
        <v>3398517</v>
      </c>
      <c r="O10" s="72">
        <v>3398519</v>
      </c>
      <c r="P10" s="72">
        <v>3398516</v>
      </c>
      <c r="Q10" s="72">
        <v>3398517</v>
      </c>
      <c r="R10" s="72">
        <v>3398519</v>
      </c>
      <c r="S10" s="72">
        <v>3398516</v>
      </c>
      <c r="T10" s="72" t="s">
        <v>25</v>
      </c>
      <c r="U10" s="72">
        <v>38.369999999999997</v>
      </c>
      <c r="V10" s="72">
        <v>38.369999999999997</v>
      </c>
      <c r="W10" s="72">
        <v>38.380000000000003</v>
      </c>
      <c r="X10" s="73">
        <v>41</v>
      </c>
      <c r="Y10" s="132">
        <v>1</v>
      </c>
      <c r="Z10" s="139" t="s">
        <v>11</v>
      </c>
      <c r="AA10" s="75" t="s">
        <v>12</v>
      </c>
      <c r="AB10" s="76" t="s">
        <v>52</v>
      </c>
      <c r="AC10" s="75" t="s">
        <v>14</v>
      </c>
      <c r="AD10" s="74" t="s">
        <v>15</v>
      </c>
      <c r="AE10" s="75" t="s">
        <v>325</v>
      </c>
      <c r="AF10" s="75">
        <f>571032947/O10</f>
        <v>168.02405606677496</v>
      </c>
      <c r="AG10" s="75" t="s">
        <v>16</v>
      </c>
      <c r="AH10" s="75" t="s">
        <v>17</v>
      </c>
      <c r="AI10" s="140" t="s">
        <v>18</v>
      </c>
      <c r="AJ10" s="146" t="s">
        <v>19</v>
      </c>
      <c r="AK10" s="77" t="s">
        <v>53</v>
      </c>
      <c r="AL10" s="77" t="s">
        <v>54</v>
      </c>
      <c r="AM10" s="82" t="s">
        <v>55</v>
      </c>
    </row>
    <row r="11" spans="1:40">
      <c r="A11" s="81" t="s">
        <v>56</v>
      </c>
      <c r="B11" s="69">
        <v>2020</v>
      </c>
      <c r="C11" s="98" t="s">
        <v>57</v>
      </c>
      <c r="D11" s="106">
        <v>68</v>
      </c>
      <c r="E11" s="70">
        <v>68</v>
      </c>
      <c r="F11" s="70">
        <v>68</v>
      </c>
      <c r="G11" s="70">
        <v>68</v>
      </c>
      <c r="H11" s="71">
        <v>68</v>
      </c>
      <c r="I11" s="71">
        <v>68</v>
      </c>
      <c r="J11" s="71">
        <v>68</v>
      </c>
      <c r="K11" s="71">
        <v>68</v>
      </c>
      <c r="L11" s="105">
        <v>68</v>
      </c>
      <c r="M11" s="131">
        <v>3366042</v>
      </c>
      <c r="N11" s="72">
        <v>3400917</v>
      </c>
      <c r="O11" s="72">
        <v>3400912</v>
      </c>
      <c r="P11" s="72">
        <v>3400977</v>
      </c>
      <c r="Q11" s="72">
        <v>3400917</v>
      </c>
      <c r="R11" s="72">
        <v>3400912</v>
      </c>
      <c r="S11" s="72">
        <v>3400977</v>
      </c>
      <c r="T11" s="72" t="s">
        <v>10</v>
      </c>
      <c r="U11" s="72">
        <v>38.32</v>
      </c>
      <c r="V11" s="72">
        <v>38.32</v>
      </c>
      <c r="W11" s="72">
        <v>38.33</v>
      </c>
      <c r="X11" s="73">
        <v>34</v>
      </c>
      <c r="Y11" s="132">
        <v>1</v>
      </c>
      <c r="Z11" s="139" t="s">
        <v>11</v>
      </c>
      <c r="AA11" s="75" t="s">
        <v>12</v>
      </c>
      <c r="AB11" s="76" t="s">
        <v>58</v>
      </c>
      <c r="AC11" s="75" t="s">
        <v>14</v>
      </c>
      <c r="AD11" s="74" t="s">
        <v>15</v>
      </c>
      <c r="AE11" s="75" t="s">
        <v>325</v>
      </c>
      <c r="AF11" s="75">
        <f>1047577875/O11</f>
        <v>308.02851558640742</v>
      </c>
      <c r="AG11" s="75" t="s">
        <v>16</v>
      </c>
      <c r="AH11" s="75" t="s">
        <v>17</v>
      </c>
      <c r="AI11" s="140" t="s">
        <v>18</v>
      </c>
      <c r="AJ11" s="146" t="s">
        <v>19</v>
      </c>
      <c r="AK11" s="77" t="s">
        <v>59</v>
      </c>
      <c r="AL11" s="77" t="s">
        <v>60</v>
      </c>
      <c r="AM11" s="82" t="s">
        <v>61</v>
      </c>
    </row>
    <row r="12" spans="1:40">
      <c r="A12" s="81" t="s">
        <v>62</v>
      </c>
      <c r="B12" s="69">
        <v>2013</v>
      </c>
      <c r="C12" s="98" t="s">
        <v>24</v>
      </c>
      <c r="D12" s="100">
        <v>146</v>
      </c>
      <c r="E12" s="70">
        <v>146</v>
      </c>
      <c r="F12" s="70" t="s">
        <v>9</v>
      </c>
      <c r="G12" s="70">
        <v>146</v>
      </c>
      <c r="H12" s="71">
        <v>146</v>
      </c>
      <c r="I12" s="71">
        <v>146</v>
      </c>
      <c r="J12" s="71">
        <v>146</v>
      </c>
      <c r="K12" s="71">
        <v>146</v>
      </c>
      <c r="L12" s="105">
        <v>146</v>
      </c>
      <c r="M12" s="133">
        <v>3437754</v>
      </c>
      <c r="N12" s="73">
        <v>3493798</v>
      </c>
      <c r="O12" s="73">
        <v>3493799</v>
      </c>
      <c r="P12" s="72">
        <v>3493800</v>
      </c>
      <c r="Q12" s="72">
        <v>3493798</v>
      </c>
      <c r="R12" s="72">
        <v>3493799</v>
      </c>
      <c r="S12" s="72">
        <v>3493800</v>
      </c>
      <c r="T12" s="72" t="s">
        <v>63</v>
      </c>
      <c r="U12" s="72">
        <v>38.36</v>
      </c>
      <c r="V12" s="72">
        <v>38.36</v>
      </c>
      <c r="W12" s="72">
        <v>38.369999999999997</v>
      </c>
      <c r="X12" s="73">
        <v>51</v>
      </c>
      <c r="Y12" s="132">
        <v>1</v>
      </c>
      <c r="Z12" s="139" t="s">
        <v>11</v>
      </c>
      <c r="AA12" s="74" t="s">
        <v>26</v>
      </c>
      <c r="AB12" s="76" t="s">
        <v>64</v>
      </c>
      <c r="AC12" s="75" t="s">
        <v>14</v>
      </c>
      <c r="AD12" s="74" t="s">
        <v>15</v>
      </c>
      <c r="AE12" s="75" t="s">
        <v>325</v>
      </c>
      <c r="AF12" s="75">
        <f>1169307572/O12</f>
        <v>334.68083653352699</v>
      </c>
      <c r="AG12" s="75" t="s">
        <v>16</v>
      </c>
      <c r="AH12" s="75" t="s">
        <v>17</v>
      </c>
      <c r="AI12" s="140" t="s">
        <v>18</v>
      </c>
      <c r="AJ12" s="146" t="s">
        <v>19</v>
      </c>
      <c r="AK12" s="77" t="s">
        <v>65</v>
      </c>
      <c r="AL12" s="77" t="s">
        <v>66</v>
      </c>
      <c r="AM12" s="82" t="s">
        <v>67</v>
      </c>
    </row>
    <row r="13" spans="1:40">
      <c r="A13" s="84" t="s">
        <v>68</v>
      </c>
      <c r="B13" s="69">
        <v>2013</v>
      </c>
      <c r="C13" s="98" t="s">
        <v>8</v>
      </c>
      <c r="D13" s="106">
        <v>154</v>
      </c>
      <c r="E13" s="70" t="s">
        <v>69</v>
      </c>
      <c r="F13" s="70" t="s">
        <v>9</v>
      </c>
      <c r="G13" s="70" t="s">
        <v>9</v>
      </c>
      <c r="H13" s="71">
        <v>154</v>
      </c>
      <c r="I13" s="71">
        <v>154</v>
      </c>
      <c r="J13" s="71">
        <v>154</v>
      </c>
      <c r="K13" s="71">
        <v>154</v>
      </c>
      <c r="L13" s="105">
        <v>154</v>
      </c>
      <c r="M13" s="131">
        <v>3412208</v>
      </c>
      <c r="N13" s="72">
        <v>3505048</v>
      </c>
      <c r="O13" s="72">
        <v>3505037</v>
      </c>
      <c r="P13" s="72">
        <v>3505144</v>
      </c>
      <c r="Q13" s="72">
        <v>3505048</v>
      </c>
      <c r="R13" s="72">
        <v>3505037</v>
      </c>
      <c r="S13" s="72">
        <v>3505144</v>
      </c>
      <c r="T13" s="72" t="s">
        <v>70</v>
      </c>
      <c r="U13" s="72">
        <v>38.270000000000003</v>
      </c>
      <c r="V13" s="72">
        <v>38.270000000000003</v>
      </c>
      <c r="W13" s="72">
        <v>38.28</v>
      </c>
      <c r="X13" s="73">
        <v>133</v>
      </c>
      <c r="Y13" s="132">
        <v>1</v>
      </c>
      <c r="Z13" s="141" t="s">
        <v>71</v>
      </c>
      <c r="AA13" s="74" t="s">
        <v>26</v>
      </c>
      <c r="AB13" s="76" t="s">
        <v>72</v>
      </c>
      <c r="AC13" s="75" t="s">
        <v>14</v>
      </c>
      <c r="AD13" s="74" t="s">
        <v>15</v>
      </c>
      <c r="AE13" s="75" t="s">
        <v>325</v>
      </c>
      <c r="AF13" s="75">
        <f>616172481/O13</f>
        <v>175.7962843188246</v>
      </c>
      <c r="AG13" s="75" t="s">
        <v>16</v>
      </c>
      <c r="AH13" s="75" t="s">
        <v>17</v>
      </c>
      <c r="AI13" s="140" t="s">
        <v>18</v>
      </c>
      <c r="AJ13" s="146" t="s">
        <v>73</v>
      </c>
      <c r="AK13" s="77" t="s">
        <v>74</v>
      </c>
      <c r="AL13" s="77" t="s">
        <v>75</v>
      </c>
      <c r="AM13" s="85" t="s">
        <v>449</v>
      </c>
    </row>
    <row r="14" spans="1:40">
      <c r="A14" s="84" t="s">
        <v>76</v>
      </c>
      <c r="B14" s="69">
        <v>2021</v>
      </c>
      <c r="C14" s="98" t="s">
        <v>8</v>
      </c>
      <c r="D14" s="106">
        <v>154</v>
      </c>
      <c r="E14" s="70" t="s">
        <v>69</v>
      </c>
      <c r="F14" s="70" t="s">
        <v>9</v>
      </c>
      <c r="G14" s="70" t="s">
        <v>9</v>
      </c>
      <c r="H14" s="71">
        <v>154</v>
      </c>
      <c r="I14" s="70">
        <v>154</v>
      </c>
      <c r="J14" s="70">
        <v>154</v>
      </c>
      <c r="K14" s="70">
        <v>154</v>
      </c>
      <c r="L14" s="101">
        <v>154</v>
      </c>
      <c r="M14" s="131">
        <v>3464157</v>
      </c>
      <c r="N14" s="72">
        <v>3507042</v>
      </c>
      <c r="O14" s="72">
        <v>3507026</v>
      </c>
      <c r="P14" s="72">
        <v>3507146</v>
      </c>
      <c r="Q14" s="72">
        <v>3507042</v>
      </c>
      <c r="R14" s="72">
        <v>3507026</v>
      </c>
      <c r="S14" s="72">
        <v>3507146</v>
      </c>
      <c r="T14" s="72" t="s">
        <v>77</v>
      </c>
      <c r="U14" s="72">
        <v>38.270000000000003</v>
      </c>
      <c r="V14" s="72">
        <v>38.270000000000003</v>
      </c>
      <c r="W14" s="72">
        <v>38.28</v>
      </c>
      <c r="X14" s="73">
        <v>52</v>
      </c>
      <c r="Y14" s="132">
        <v>1</v>
      </c>
      <c r="Z14" s="139" t="s">
        <v>11</v>
      </c>
      <c r="AA14" s="74" t="s">
        <v>26</v>
      </c>
      <c r="AB14" s="76" t="s">
        <v>78</v>
      </c>
      <c r="AC14" s="75" t="s">
        <v>14</v>
      </c>
      <c r="AD14" s="74" t="s">
        <v>15</v>
      </c>
      <c r="AE14" s="75" t="s">
        <v>325</v>
      </c>
      <c r="AF14" s="75">
        <f>839138841/O14</f>
        <v>239.27362985047731</v>
      </c>
      <c r="AG14" s="75" t="s">
        <v>16</v>
      </c>
      <c r="AH14" s="75" t="s">
        <v>17</v>
      </c>
      <c r="AI14" s="140" t="s">
        <v>18</v>
      </c>
      <c r="AJ14" s="146" t="s">
        <v>73</v>
      </c>
      <c r="AK14" s="77" t="s">
        <v>79</v>
      </c>
      <c r="AL14" s="77" t="s">
        <v>80</v>
      </c>
      <c r="AM14" s="85" t="s">
        <v>450</v>
      </c>
    </row>
    <row r="15" spans="1:40">
      <c r="A15" s="84" t="s">
        <v>81</v>
      </c>
      <c r="B15" s="69">
        <v>2021</v>
      </c>
      <c r="C15" s="98" t="s">
        <v>8</v>
      </c>
      <c r="D15" s="106">
        <v>154</v>
      </c>
      <c r="E15" s="70">
        <v>154</v>
      </c>
      <c r="F15" s="70" t="s">
        <v>9</v>
      </c>
      <c r="G15" s="70" t="s">
        <v>9</v>
      </c>
      <c r="H15" s="71">
        <v>154</v>
      </c>
      <c r="I15" s="70">
        <v>154</v>
      </c>
      <c r="J15" s="70">
        <v>154</v>
      </c>
      <c r="K15" s="70">
        <v>154</v>
      </c>
      <c r="L15" s="101">
        <v>154</v>
      </c>
      <c r="M15" s="131">
        <v>3456177</v>
      </c>
      <c r="N15" s="72">
        <v>3499542</v>
      </c>
      <c r="O15" s="72">
        <v>3499522</v>
      </c>
      <c r="P15" s="72">
        <v>3499647</v>
      </c>
      <c r="Q15" s="72">
        <v>3499542</v>
      </c>
      <c r="R15" s="72">
        <v>3499522</v>
      </c>
      <c r="S15" s="72">
        <v>3499647</v>
      </c>
      <c r="T15" s="72" t="s">
        <v>77</v>
      </c>
      <c r="U15" s="72">
        <v>38.26</v>
      </c>
      <c r="V15" s="72">
        <v>38.26</v>
      </c>
      <c r="W15" s="72">
        <v>38.270000000000003</v>
      </c>
      <c r="X15" s="73">
        <v>48</v>
      </c>
      <c r="Y15" s="132">
        <v>1</v>
      </c>
      <c r="Z15" s="139" t="s">
        <v>11</v>
      </c>
      <c r="AA15" s="75" t="s">
        <v>82</v>
      </c>
      <c r="AB15" s="76" t="s">
        <v>83</v>
      </c>
      <c r="AC15" s="75" t="s">
        <v>14</v>
      </c>
      <c r="AD15" s="74" t="s">
        <v>15</v>
      </c>
      <c r="AE15" s="75" t="s">
        <v>325</v>
      </c>
      <c r="AF15" s="75">
        <f>159925717/O15</f>
        <v>45.699303219125355</v>
      </c>
      <c r="AG15" s="75" t="s">
        <v>16</v>
      </c>
      <c r="AH15" s="75" t="s">
        <v>17</v>
      </c>
      <c r="AI15" s="140" t="s">
        <v>18</v>
      </c>
      <c r="AJ15" s="146" t="s">
        <v>73</v>
      </c>
      <c r="AK15" s="77" t="s">
        <v>84</v>
      </c>
      <c r="AL15" s="77" t="s">
        <v>85</v>
      </c>
      <c r="AM15" s="86" t="s">
        <v>86</v>
      </c>
    </row>
    <row r="16" spans="1:40">
      <c r="A16" s="84" t="s">
        <v>87</v>
      </c>
      <c r="B16" s="69">
        <v>2021</v>
      </c>
      <c r="C16" s="98" t="s">
        <v>8</v>
      </c>
      <c r="D16" s="106">
        <v>154</v>
      </c>
      <c r="E16" s="70">
        <v>154</v>
      </c>
      <c r="F16" s="70" t="s">
        <v>9</v>
      </c>
      <c r="G16" s="70" t="s">
        <v>9</v>
      </c>
      <c r="H16" s="71">
        <v>154</v>
      </c>
      <c r="I16" s="70">
        <v>154</v>
      </c>
      <c r="J16" s="70">
        <v>154</v>
      </c>
      <c r="K16" s="70" t="s">
        <v>351</v>
      </c>
      <c r="L16" s="101">
        <v>154</v>
      </c>
      <c r="M16" s="131">
        <v>3465167</v>
      </c>
      <c r="N16" s="72">
        <v>3505019</v>
      </c>
      <c r="O16" s="72">
        <v>3505009</v>
      </c>
      <c r="P16" s="72">
        <v>3505124</v>
      </c>
      <c r="Q16" s="72">
        <v>3505019</v>
      </c>
      <c r="R16" s="72">
        <v>3505009</v>
      </c>
      <c r="S16" s="72">
        <v>3505124</v>
      </c>
      <c r="T16" s="72" t="s">
        <v>88</v>
      </c>
      <c r="U16" s="72">
        <v>38.270000000000003</v>
      </c>
      <c r="V16" s="72">
        <v>38.270000000000003</v>
      </c>
      <c r="W16" s="72">
        <v>38.28</v>
      </c>
      <c r="X16" s="73">
        <v>47</v>
      </c>
      <c r="Y16" s="132">
        <v>1</v>
      </c>
      <c r="Z16" s="139" t="s">
        <v>11</v>
      </c>
      <c r="AA16" s="75" t="s">
        <v>82</v>
      </c>
      <c r="AB16" s="76" t="s">
        <v>89</v>
      </c>
      <c r="AC16" s="75" t="s">
        <v>14</v>
      </c>
      <c r="AD16" s="74" t="s">
        <v>15</v>
      </c>
      <c r="AE16" s="75" t="s">
        <v>325</v>
      </c>
      <c r="AF16" s="75">
        <f>767374639/O16</f>
        <v>218.93656735260879</v>
      </c>
      <c r="AG16" s="75" t="s">
        <v>16</v>
      </c>
      <c r="AH16" s="75" t="s">
        <v>17</v>
      </c>
      <c r="AI16" s="140" t="s">
        <v>18</v>
      </c>
      <c r="AJ16" s="146" t="s">
        <v>73</v>
      </c>
      <c r="AK16" s="77" t="s">
        <v>90</v>
      </c>
      <c r="AL16" s="77" t="s">
        <v>91</v>
      </c>
      <c r="AM16" s="85" t="s">
        <v>453</v>
      </c>
    </row>
    <row r="17" spans="1:39">
      <c r="A17" s="81" t="s">
        <v>92</v>
      </c>
      <c r="B17" s="69">
        <v>2020</v>
      </c>
      <c r="C17" s="98" t="s">
        <v>93</v>
      </c>
      <c r="D17" s="104">
        <v>222</v>
      </c>
      <c r="E17" s="70">
        <v>222</v>
      </c>
      <c r="F17" s="70" t="s">
        <v>9</v>
      </c>
      <c r="G17" s="70" t="s">
        <v>9</v>
      </c>
      <c r="H17" s="71">
        <v>222</v>
      </c>
      <c r="I17" s="71">
        <v>222</v>
      </c>
      <c r="J17" s="71">
        <v>222</v>
      </c>
      <c r="K17" s="71">
        <v>222</v>
      </c>
      <c r="L17" s="105">
        <v>222</v>
      </c>
      <c r="M17" s="131">
        <v>3452625</v>
      </c>
      <c r="N17" s="72">
        <v>3516676</v>
      </c>
      <c r="O17" s="72">
        <v>3516679</v>
      </c>
      <c r="P17" s="72">
        <v>3516676</v>
      </c>
      <c r="Q17" s="72">
        <v>3516676</v>
      </c>
      <c r="R17" s="72">
        <v>3516679</v>
      </c>
      <c r="S17" s="72">
        <v>3516676</v>
      </c>
      <c r="T17" s="73" t="s">
        <v>10</v>
      </c>
      <c r="U17" s="73">
        <v>38.36</v>
      </c>
      <c r="V17" s="73">
        <v>38.36</v>
      </c>
      <c r="W17" s="73">
        <v>38.36</v>
      </c>
      <c r="X17" s="73">
        <v>61</v>
      </c>
      <c r="Y17" s="132">
        <v>1</v>
      </c>
      <c r="Z17" s="141" t="s">
        <v>11</v>
      </c>
      <c r="AA17" s="75" t="s">
        <v>12</v>
      </c>
      <c r="AB17" s="76" t="s">
        <v>94</v>
      </c>
      <c r="AC17" s="75" t="s">
        <v>14</v>
      </c>
      <c r="AD17" s="74" t="s">
        <v>15</v>
      </c>
      <c r="AE17" s="75" t="s">
        <v>325</v>
      </c>
      <c r="AF17" s="75">
        <f>693764004/O17</f>
        <v>197.27817182062964</v>
      </c>
      <c r="AG17" s="75" t="s">
        <v>16</v>
      </c>
      <c r="AH17" s="75" t="s">
        <v>17</v>
      </c>
      <c r="AI17" s="140" t="s">
        <v>18</v>
      </c>
      <c r="AJ17" s="146" t="s">
        <v>19</v>
      </c>
      <c r="AK17" s="77" t="s">
        <v>95</v>
      </c>
      <c r="AL17" s="77" t="s">
        <v>96</v>
      </c>
      <c r="AM17" s="82" t="s">
        <v>97</v>
      </c>
    </row>
    <row r="18" spans="1:39">
      <c r="A18" s="81" t="s">
        <v>98</v>
      </c>
      <c r="B18" s="69">
        <v>2021</v>
      </c>
      <c r="C18" s="98" t="s">
        <v>8</v>
      </c>
      <c r="D18" s="106">
        <v>292</v>
      </c>
      <c r="E18" s="70">
        <v>292</v>
      </c>
      <c r="F18" s="70" t="s">
        <v>9</v>
      </c>
      <c r="G18" s="70" t="s">
        <v>9</v>
      </c>
      <c r="H18" s="71">
        <v>292</v>
      </c>
      <c r="I18" s="71">
        <v>292</v>
      </c>
      <c r="J18" s="71">
        <v>292</v>
      </c>
      <c r="K18" s="71">
        <v>292</v>
      </c>
      <c r="L18" s="105">
        <v>292</v>
      </c>
      <c r="M18" s="131">
        <v>3389473</v>
      </c>
      <c r="N18" s="72">
        <v>3425637</v>
      </c>
      <c r="O18" s="72">
        <v>3425643</v>
      </c>
      <c r="P18" s="72">
        <v>3425642</v>
      </c>
      <c r="Q18" s="72">
        <v>3425637</v>
      </c>
      <c r="R18" s="72">
        <v>3425643</v>
      </c>
      <c r="S18" s="72">
        <v>3425642</v>
      </c>
      <c r="T18" s="72" t="s">
        <v>99</v>
      </c>
      <c r="U18" s="72">
        <v>38.31</v>
      </c>
      <c r="V18" s="72">
        <v>38.31</v>
      </c>
      <c r="W18" s="72">
        <v>38.31</v>
      </c>
      <c r="X18" s="73">
        <v>52</v>
      </c>
      <c r="Y18" s="132">
        <v>1</v>
      </c>
      <c r="Z18" s="139" t="s">
        <v>11</v>
      </c>
      <c r="AA18" s="75" t="s">
        <v>82</v>
      </c>
      <c r="AB18" s="76" t="s">
        <v>100</v>
      </c>
      <c r="AC18" s="75" t="s">
        <v>14</v>
      </c>
      <c r="AD18" s="74" t="s">
        <v>15</v>
      </c>
      <c r="AE18" s="75" t="s">
        <v>325</v>
      </c>
      <c r="AF18" s="75">
        <f>1057378738/O18</f>
        <v>308.66577106838042</v>
      </c>
      <c r="AG18" s="75" t="s">
        <v>16</v>
      </c>
      <c r="AH18" s="75" t="s">
        <v>17</v>
      </c>
      <c r="AI18" s="140" t="s">
        <v>18</v>
      </c>
      <c r="AJ18" s="146" t="s">
        <v>19</v>
      </c>
      <c r="AK18" s="77" t="s">
        <v>101</v>
      </c>
      <c r="AL18" s="77" t="s">
        <v>102</v>
      </c>
      <c r="AM18" s="82" t="s">
        <v>103</v>
      </c>
    </row>
    <row r="19" spans="1:39">
      <c r="A19" s="81" t="s">
        <v>104</v>
      </c>
      <c r="B19" s="69">
        <v>2019</v>
      </c>
      <c r="C19" s="98" t="s">
        <v>24</v>
      </c>
      <c r="D19" s="106">
        <v>354</v>
      </c>
      <c r="E19" s="70">
        <v>354</v>
      </c>
      <c r="F19" s="70" t="s">
        <v>9</v>
      </c>
      <c r="G19" s="70" t="s">
        <v>9</v>
      </c>
      <c r="H19" s="71">
        <v>354</v>
      </c>
      <c r="I19" s="71">
        <v>354</v>
      </c>
      <c r="J19" s="71">
        <v>354</v>
      </c>
      <c r="K19" s="71">
        <v>354</v>
      </c>
      <c r="L19" s="105">
        <v>354</v>
      </c>
      <c r="M19" s="131">
        <v>3325578</v>
      </c>
      <c r="N19" s="72">
        <v>3425006</v>
      </c>
      <c r="O19" s="72">
        <v>3425011</v>
      </c>
      <c r="P19" s="72">
        <v>3425012</v>
      </c>
      <c r="Q19" s="72">
        <v>3425006</v>
      </c>
      <c r="R19" s="72">
        <v>3425011</v>
      </c>
      <c r="S19" s="72">
        <v>3425012</v>
      </c>
      <c r="T19" s="72" t="s">
        <v>105</v>
      </c>
      <c r="U19" s="72">
        <v>38.35</v>
      </c>
      <c r="V19" s="72">
        <v>38.35</v>
      </c>
      <c r="W19" s="72">
        <v>38.35</v>
      </c>
      <c r="X19" s="73">
        <v>122</v>
      </c>
      <c r="Y19" s="132">
        <v>1</v>
      </c>
      <c r="Z19" s="139" t="s">
        <v>11</v>
      </c>
      <c r="AA19" s="75" t="s">
        <v>82</v>
      </c>
      <c r="AB19" s="76" t="s">
        <v>106</v>
      </c>
      <c r="AC19" s="75" t="s">
        <v>14</v>
      </c>
      <c r="AD19" s="74" t="s">
        <v>15</v>
      </c>
      <c r="AE19" s="75" t="s">
        <v>325</v>
      </c>
      <c r="AF19" s="75">
        <f>819770509/O19</f>
        <v>239.34828501280725</v>
      </c>
      <c r="AG19" s="75" t="s">
        <v>16</v>
      </c>
      <c r="AH19" s="75" t="s">
        <v>17</v>
      </c>
      <c r="AI19" s="140" t="s">
        <v>18</v>
      </c>
      <c r="AJ19" s="146" t="s">
        <v>19</v>
      </c>
      <c r="AK19" s="77" t="s">
        <v>107</v>
      </c>
      <c r="AL19" s="77" t="s">
        <v>108</v>
      </c>
      <c r="AM19" s="82" t="s">
        <v>109</v>
      </c>
    </row>
    <row r="20" spans="1:39">
      <c r="A20" s="84" t="s">
        <v>110</v>
      </c>
      <c r="B20" s="69">
        <v>2021</v>
      </c>
      <c r="C20" s="98" t="s">
        <v>8</v>
      </c>
      <c r="D20" s="102">
        <v>574</v>
      </c>
      <c r="E20" s="70" t="s">
        <v>69</v>
      </c>
      <c r="F20" s="70" t="s">
        <v>9</v>
      </c>
      <c r="G20" s="70" t="s">
        <v>9</v>
      </c>
      <c r="H20" s="78">
        <v>574</v>
      </c>
      <c r="I20" s="80">
        <v>574</v>
      </c>
      <c r="J20" s="80">
        <v>574</v>
      </c>
      <c r="K20" s="80">
        <v>574</v>
      </c>
      <c r="L20" s="107">
        <v>574</v>
      </c>
      <c r="M20" s="131">
        <v>3464386</v>
      </c>
      <c r="N20" s="72">
        <v>3504259</v>
      </c>
      <c r="O20" s="72">
        <v>3504251</v>
      </c>
      <c r="P20" s="72">
        <v>3504375</v>
      </c>
      <c r="Q20" s="72">
        <v>3504259</v>
      </c>
      <c r="R20" s="72">
        <v>3504251</v>
      </c>
      <c r="S20" s="72">
        <v>3504375</v>
      </c>
      <c r="T20" s="72" t="s">
        <v>88</v>
      </c>
      <c r="U20" s="72">
        <v>38.270000000000003</v>
      </c>
      <c r="V20" s="72">
        <v>38.270000000000003</v>
      </c>
      <c r="W20" s="72">
        <v>38.28</v>
      </c>
      <c r="X20" s="73">
        <v>49</v>
      </c>
      <c r="Y20" s="132">
        <v>1</v>
      </c>
      <c r="Z20" s="139" t="s">
        <v>11</v>
      </c>
      <c r="AA20" s="74" t="s">
        <v>26</v>
      </c>
      <c r="AB20" s="76" t="s">
        <v>111</v>
      </c>
      <c r="AC20" s="75" t="s">
        <v>14</v>
      </c>
      <c r="AD20" s="74" t="s">
        <v>15</v>
      </c>
      <c r="AE20" s="75" t="s">
        <v>325</v>
      </c>
      <c r="AF20" s="75">
        <f>1639849874/O20</f>
        <v>467.96016438320203</v>
      </c>
      <c r="AG20" s="75" t="s">
        <v>16</v>
      </c>
      <c r="AH20" s="75" t="s">
        <v>17</v>
      </c>
      <c r="AI20" s="140" t="s">
        <v>18</v>
      </c>
      <c r="AJ20" s="146" t="s">
        <v>73</v>
      </c>
      <c r="AK20" s="77" t="s">
        <v>112</v>
      </c>
      <c r="AL20" s="77" t="s">
        <v>113</v>
      </c>
      <c r="AM20" s="85" t="s">
        <v>451</v>
      </c>
    </row>
    <row r="21" spans="1:39">
      <c r="A21" s="84" t="s">
        <v>114</v>
      </c>
      <c r="B21" s="69">
        <v>2012</v>
      </c>
      <c r="C21" s="98" t="s">
        <v>8</v>
      </c>
      <c r="D21" s="106">
        <v>574</v>
      </c>
      <c r="E21" s="70">
        <v>574</v>
      </c>
      <c r="F21" s="70" t="s">
        <v>9</v>
      </c>
      <c r="G21" s="70" t="s">
        <v>9</v>
      </c>
      <c r="H21" s="71">
        <v>574</v>
      </c>
      <c r="I21" s="71">
        <v>574</v>
      </c>
      <c r="J21" s="71">
        <v>574</v>
      </c>
      <c r="K21" s="71">
        <v>574</v>
      </c>
      <c r="L21" s="105">
        <v>574</v>
      </c>
      <c r="M21" s="131">
        <v>3462962</v>
      </c>
      <c r="N21" s="72">
        <v>3504259</v>
      </c>
      <c r="O21" s="72">
        <v>3504245</v>
      </c>
      <c r="P21" s="72">
        <v>3504371</v>
      </c>
      <c r="Q21" s="72">
        <v>3504259</v>
      </c>
      <c r="R21" s="72">
        <v>3504245</v>
      </c>
      <c r="S21" s="72">
        <v>3504371</v>
      </c>
      <c r="T21" s="72" t="s">
        <v>88</v>
      </c>
      <c r="U21" s="72">
        <v>38.270000000000003</v>
      </c>
      <c r="V21" s="72">
        <v>38.270000000000003</v>
      </c>
      <c r="W21" s="72">
        <v>38.28</v>
      </c>
      <c r="X21" s="73">
        <v>46</v>
      </c>
      <c r="Y21" s="132">
        <v>1</v>
      </c>
      <c r="Z21" s="141" t="s">
        <v>71</v>
      </c>
      <c r="AA21" s="74" t="s">
        <v>26</v>
      </c>
      <c r="AB21" s="76" t="s">
        <v>115</v>
      </c>
      <c r="AC21" s="75" t="s">
        <v>14</v>
      </c>
      <c r="AD21" s="74" t="s">
        <v>15</v>
      </c>
      <c r="AE21" s="75" t="s">
        <v>325</v>
      </c>
      <c r="AF21" s="75">
        <f>804789982/O21</f>
        <v>229.66144832909799</v>
      </c>
      <c r="AG21" s="75" t="s">
        <v>16</v>
      </c>
      <c r="AH21" s="75" t="s">
        <v>17</v>
      </c>
      <c r="AI21" s="140" t="s">
        <v>18</v>
      </c>
      <c r="AJ21" s="146" t="s">
        <v>73</v>
      </c>
      <c r="AK21" s="77" t="s">
        <v>116</v>
      </c>
      <c r="AL21" s="77" t="s">
        <v>117</v>
      </c>
      <c r="AM21" s="85" t="s">
        <v>454</v>
      </c>
    </row>
    <row r="22" spans="1:39">
      <c r="A22" s="84" t="s">
        <v>118</v>
      </c>
      <c r="B22" s="69">
        <v>2013</v>
      </c>
      <c r="C22" s="98" t="s">
        <v>8</v>
      </c>
      <c r="D22" s="106">
        <v>574</v>
      </c>
      <c r="E22" s="70">
        <v>574</v>
      </c>
      <c r="F22" s="70" t="s">
        <v>9</v>
      </c>
      <c r="G22" s="70" t="s">
        <v>9</v>
      </c>
      <c r="H22" s="71">
        <v>574</v>
      </c>
      <c r="I22" s="71">
        <v>574</v>
      </c>
      <c r="J22" s="71">
        <v>574</v>
      </c>
      <c r="K22" s="71">
        <v>574</v>
      </c>
      <c r="L22" s="105">
        <v>574</v>
      </c>
      <c r="M22" s="131">
        <v>3463229</v>
      </c>
      <c r="N22" s="72">
        <v>3504273</v>
      </c>
      <c r="O22" s="72">
        <v>3504258</v>
      </c>
      <c r="P22" s="72">
        <v>3504375</v>
      </c>
      <c r="Q22" s="72">
        <v>3504273</v>
      </c>
      <c r="R22" s="72">
        <v>3504258</v>
      </c>
      <c r="S22" s="72">
        <v>3504375</v>
      </c>
      <c r="T22" s="72" t="s">
        <v>88</v>
      </c>
      <c r="U22" s="72">
        <v>38.270000000000003</v>
      </c>
      <c r="V22" s="72">
        <v>38.270000000000003</v>
      </c>
      <c r="W22" s="72">
        <v>38.28</v>
      </c>
      <c r="X22" s="73">
        <v>48</v>
      </c>
      <c r="Y22" s="132">
        <v>1</v>
      </c>
      <c r="Z22" s="141" t="s">
        <v>71</v>
      </c>
      <c r="AA22" s="74" t="s">
        <v>26</v>
      </c>
      <c r="AB22" s="76" t="s">
        <v>119</v>
      </c>
      <c r="AC22" s="75" t="s">
        <v>14</v>
      </c>
      <c r="AD22" s="74" t="s">
        <v>15</v>
      </c>
      <c r="AE22" s="75" t="s">
        <v>325</v>
      </c>
      <c r="AF22" s="75">
        <f>2079568073/O22</f>
        <v>593.44034400435123</v>
      </c>
      <c r="AG22" s="75" t="s">
        <v>16</v>
      </c>
      <c r="AH22" s="75" t="s">
        <v>17</v>
      </c>
      <c r="AI22" s="140" t="s">
        <v>18</v>
      </c>
      <c r="AJ22" s="146" t="s">
        <v>73</v>
      </c>
      <c r="AK22" s="77" t="s">
        <v>120</v>
      </c>
      <c r="AL22" s="77" t="s">
        <v>121</v>
      </c>
      <c r="AM22" s="85" t="s">
        <v>452</v>
      </c>
    </row>
    <row r="23" spans="1:39">
      <c r="A23" s="84" t="s">
        <v>122</v>
      </c>
      <c r="B23" s="69">
        <v>2013</v>
      </c>
      <c r="C23" s="98" t="s">
        <v>8</v>
      </c>
      <c r="D23" s="106">
        <v>574</v>
      </c>
      <c r="E23" s="70" t="s">
        <v>69</v>
      </c>
      <c r="F23" s="70" t="s">
        <v>9</v>
      </c>
      <c r="G23" s="70" t="s">
        <v>9</v>
      </c>
      <c r="H23" s="71">
        <v>574</v>
      </c>
      <c r="I23" s="71">
        <v>574</v>
      </c>
      <c r="J23" s="71">
        <v>574</v>
      </c>
      <c r="K23" s="71">
        <v>574</v>
      </c>
      <c r="L23" s="105">
        <v>574</v>
      </c>
      <c r="M23" s="131">
        <v>3463411</v>
      </c>
      <c r="N23" s="72">
        <v>3504272</v>
      </c>
      <c r="O23" s="72">
        <v>3504258</v>
      </c>
      <c r="P23" s="72">
        <v>3504375</v>
      </c>
      <c r="Q23" s="72">
        <v>3504272</v>
      </c>
      <c r="R23" s="72">
        <v>3504258</v>
      </c>
      <c r="S23" s="72">
        <v>3504375</v>
      </c>
      <c r="T23" s="72" t="s">
        <v>88</v>
      </c>
      <c r="U23" s="72">
        <v>38.270000000000003</v>
      </c>
      <c r="V23" s="72">
        <v>38.270000000000003</v>
      </c>
      <c r="W23" s="72">
        <v>38.28</v>
      </c>
      <c r="X23" s="73">
        <v>47</v>
      </c>
      <c r="Y23" s="132">
        <v>1</v>
      </c>
      <c r="Z23" s="141" t="s">
        <v>71</v>
      </c>
      <c r="AA23" s="74" t="s">
        <v>26</v>
      </c>
      <c r="AB23" s="76" t="s">
        <v>123</v>
      </c>
      <c r="AC23" s="75" t="s">
        <v>14</v>
      </c>
      <c r="AD23" s="74" t="s">
        <v>15</v>
      </c>
      <c r="AE23" s="75" t="s">
        <v>325</v>
      </c>
      <c r="AF23" s="75">
        <f>1571275772/O23</f>
        <v>448.39043586402602</v>
      </c>
      <c r="AG23" s="75" t="s">
        <v>16</v>
      </c>
      <c r="AH23" s="75" t="s">
        <v>17</v>
      </c>
      <c r="AI23" s="140" t="s">
        <v>18</v>
      </c>
      <c r="AJ23" s="146" t="s">
        <v>73</v>
      </c>
      <c r="AK23" s="77" t="s">
        <v>124</v>
      </c>
      <c r="AL23" s="77" t="s">
        <v>125</v>
      </c>
      <c r="AM23" s="85" t="s">
        <v>455</v>
      </c>
    </row>
    <row r="24" spans="1:39">
      <c r="A24" s="81" t="s">
        <v>126</v>
      </c>
      <c r="B24" s="69">
        <v>2007</v>
      </c>
      <c r="C24" s="98" t="s">
        <v>24</v>
      </c>
      <c r="D24" s="100">
        <v>576</v>
      </c>
      <c r="E24" s="70">
        <v>576</v>
      </c>
      <c r="F24" s="70" t="s">
        <v>9</v>
      </c>
      <c r="G24" s="70" t="s">
        <v>9</v>
      </c>
      <c r="H24" s="71">
        <v>576</v>
      </c>
      <c r="I24" s="71">
        <v>576</v>
      </c>
      <c r="J24" s="71">
        <v>576</v>
      </c>
      <c r="K24" s="71">
        <v>576</v>
      </c>
      <c r="L24" s="105">
        <v>576</v>
      </c>
      <c r="M24" s="131">
        <v>3316725</v>
      </c>
      <c r="N24" s="72">
        <v>3361140</v>
      </c>
      <c r="O24" s="72">
        <v>3361145</v>
      </c>
      <c r="P24" s="72">
        <v>3361139</v>
      </c>
      <c r="Q24" s="72">
        <v>3361140</v>
      </c>
      <c r="R24" s="72">
        <v>3361145</v>
      </c>
      <c r="S24" s="72">
        <v>3361139</v>
      </c>
      <c r="T24" s="72" t="s">
        <v>127</v>
      </c>
      <c r="U24" s="72">
        <v>38.35</v>
      </c>
      <c r="V24" s="72">
        <v>38.35</v>
      </c>
      <c r="W24" s="72">
        <v>38.35</v>
      </c>
      <c r="X24" s="73">
        <v>79</v>
      </c>
      <c r="Y24" s="132">
        <v>1</v>
      </c>
      <c r="Z24" s="139" t="s">
        <v>11</v>
      </c>
      <c r="AA24" s="74" t="s">
        <v>26</v>
      </c>
      <c r="AB24" s="76" t="s">
        <v>128</v>
      </c>
      <c r="AC24" s="75" t="s">
        <v>14</v>
      </c>
      <c r="AD24" s="74" t="s">
        <v>15</v>
      </c>
      <c r="AE24" s="75" t="s">
        <v>325</v>
      </c>
      <c r="AF24" s="75">
        <f>870971548/O24</f>
        <v>259.12941810008198</v>
      </c>
      <c r="AG24" s="75" t="s">
        <v>16</v>
      </c>
      <c r="AH24" s="75" t="s">
        <v>17</v>
      </c>
      <c r="AI24" s="140" t="s">
        <v>18</v>
      </c>
      <c r="AJ24" s="146" t="s">
        <v>19</v>
      </c>
      <c r="AK24" s="77" t="s">
        <v>129</v>
      </c>
      <c r="AL24" s="77" t="s">
        <v>130</v>
      </c>
      <c r="AM24" s="82" t="s">
        <v>131</v>
      </c>
    </row>
    <row r="25" spans="1:39">
      <c r="A25" s="81" t="s">
        <v>132</v>
      </c>
      <c r="B25" s="69">
        <v>2016</v>
      </c>
      <c r="C25" s="98" t="s">
        <v>24</v>
      </c>
      <c r="D25" s="100">
        <v>659</v>
      </c>
      <c r="E25" s="70">
        <v>659</v>
      </c>
      <c r="F25" s="70" t="s">
        <v>9</v>
      </c>
      <c r="G25" s="70" t="s">
        <v>9</v>
      </c>
      <c r="H25" s="71">
        <v>659</v>
      </c>
      <c r="I25" s="71">
        <v>659</v>
      </c>
      <c r="J25" s="71">
        <v>659</v>
      </c>
      <c r="K25" s="71">
        <v>659</v>
      </c>
      <c r="L25" s="105">
        <v>659</v>
      </c>
      <c r="M25" s="131">
        <v>3508068</v>
      </c>
      <c r="N25" s="72">
        <v>3570963</v>
      </c>
      <c r="O25" s="72">
        <v>3570967</v>
      </c>
      <c r="P25" s="72">
        <v>3570950</v>
      </c>
      <c r="Q25" s="72">
        <v>3511371</v>
      </c>
      <c r="R25" s="72">
        <v>3511375</v>
      </c>
      <c r="S25" s="72">
        <v>3511358</v>
      </c>
      <c r="T25" s="72" t="s">
        <v>63</v>
      </c>
      <c r="U25" s="72">
        <v>38.4</v>
      </c>
      <c r="V25" s="72">
        <v>38.4</v>
      </c>
      <c r="W25" s="72">
        <v>38.4</v>
      </c>
      <c r="X25" s="73">
        <v>94</v>
      </c>
      <c r="Y25" s="132">
        <v>2</v>
      </c>
      <c r="Z25" s="139" t="s">
        <v>11</v>
      </c>
      <c r="AA25" s="74" t="s">
        <v>26</v>
      </c>
      <c r="AB25" s="76" t="s">
        <v>133</v>
      </c>
      <c r="AC25" s="75" t="s">
        <v>14</v>
      </c>
      <c r="AD25" s="74" t="s">
        <v>15</v>
      </c>
      <c r="AE25" s="75" t="s">
        <v>325</v>
      </c>
      <c r="AF25" s="75">
        <f>252674940/O25</f>
        <v>70.758127980460188</v>
      </c>
      <c r="AG25" s="75" t="s">
        <v>16</v>
      </c>
      <c r="AH25" s="75" t="s">
        <v>17</v>
      </c>
      <c r="AI25" s="140" t="s">
        <v>18</v>
      </c>
      <c r="AJ25" s="146" t="s">
        <v>19</v>
      </c>
      <c r="AK25" s="77" t="s">
        <v>134</v>
      </c>
      <c r="AL25" s="77" t="s">
        <v>135</v>
      </c>
      <c r="AM25" s="82" t="s">
        <v>136</v>
      </c>
    </row>
    <row r="26" spans="1:39">
      <c r="A26" s="81" t="s">
        <v>137</v>
      </c>
      <c r="B26" s="69">
        <v>2014</v>
      </c>
      <c r="C26" s="98" t="s">
        <v>24</v>
      </c>
      <c r="D26" s="100">
        <v>864</v>
      </c>
      <c r="E26" s="70">
        <v>864</v>
      </c>
      <c r="F26" s="70" t="s">
        <v>9</v>
      </c>
      <c r="G26" s="70" t="s">
        <v>9</v>
      </c>
      <c r="H26" s="71">
        <v>864</v>
      </c>
      <c r="I26" s="71">
        <v>864</v>
      </c>
      <c r="J26" s="71">
        <v>864</v>
      </c>
      <c r="K26" s="71">
        <v>864</v>
      </c>
      <c r="L26" s="105">
        <v>864</v>
      </c>
      <c r="M26" s="131">
        <v>3478642</v>
      </c>
      <c r="N26" s="72">
        <v>3577872</v>
      </c>
      <c r="O26" s="72">
        <v>3577875</v>
      </c>
      <c r="P26" s="72">
        <v>3577874</v>
      </c>
      <c r="Q26" s="72">
        <v>3546727</v>
      </c>
      <c r="R26" s="72">
        <v>3546730</v>
      </c>
      <c r="S26" s="72">
        <v>3546729</v>
      </c>
      <c r="T26" s="72" t="s">
        <v>138</v>
      </c>
      <c r="U26" s="72">
        <v>38.47</v>
      </c>
      <c r="V26" s="72">
        <v>38.47</v>
      </c>
      <c r="W26" s="72">
        <v>38.47</v>
      </c>
      <c r="X26" s="73">
        <v>93</v>
      </c>
      <c r="Y26" s="132">
        <v>2</v>
      </c>
      <c r="Z26" s="139" t="s">
        <v>11</v>
      </c>
      <c r="AA26" s="74" t="s">
        <v>26</v>
      </c>
      <c r="AB26" s="76" t="s">
        <v>139</v>
      </c>
      <c r="AC26" s="75" t="s">
        <v>14</v>
      </c>
      <c r="AD26" s="74" t="s">
        <v>15</v>
      </c>
      <c r="AE26" s="75" t="s">
        <v>325</v>
      </c>
      <c r="AF26" s="75">
        <f>1305663643/O26</f>
        <v>364.92712657652936</v>
      </c>
      <c r="AG26" s="75" t="s">
        <v>16</v>
      </c>
      <c r="AH26" s="75" t="s">
        <v>17</v>
      </c>
      <c r="AI26" s="140" t="s">
        <v>18</v>
      </c>
      <c r="AJ26" s="146" t="s">
        <v>19</v>
      </c>
      <c r="AK26" s="77" t="s">
        <v>140</v>
      </c>
      <c r="AL26" s="77" t="s">
        <v>141</v>
      </c>
      <c r="AM26" s="82" t="s">
        <v>142</v>
      </c>
    </row>
    <row r="27" spans="1:39">
      <c r="A27" s="81" t="s">
        <v>143</v>
      </c>
      <c r="B27" s="69">
        <v>2022</v>
      </c>
      <c r="C27" s="98" t="s">
        <v>144</v>
      </c>
      <c r="D27" s="100">
        <v>1324</v>
      </c>
      <c r="E27" s="70">
        <v>1324</v>
      </c>
      <c r="F27" s="70">
        <v>1324</v>
      </c>
      <c r="G27" s="70">
        <v>1324</v>
      </c>
      <c r="H27" s="71">
        <v>1324</v>
      </c>
      <c r="I27" s="71">
        <v>1324</v>
      </c>
      <c r="J27" s="71">
        <v>1324</v>
      </c>
      <c r="K27" s="71">
        <v>1324</v>
      </c>
      <c r="L27" s="105">
        <v>1324</v>
      </c>
      <c r="M27" s="131">
        <v>3565515</v>
      </c>
      <c r="N27" s="72">
        <v>3665184</v>
      </c>
      <c r="O27" s="72">
        <v>3665165</v>
      </c>
      <c r="P27" s="72">
        <v>3665334</v>
      </c>
      <c r="Q27" s="72">
        <v>3521487</v>
      </c>
      <c r="R27" s="72">
        <v>3521472</v>
      </c>
      <c r="S27" s="72">
        <v>3521635</v>
      </c>
      <c r="T27" s="72" t="s">
        <v>46</v>
      </c>
      <c r="U27" s="72">
        <v>38.409999999999997</v>
      </c>
      <c r="V27" s="72">
        <v>38.42</v>
      </c>
      <c r="W27" s="72">
        <v>38.42</v>
      </c>
      <c r="X27" s="73">
        <v>108</v>
      </c>
      <c r="Y27" s="132">
        <v>2</v>
      </c>
      <c r="Z27" s="139" t="s">
        <v>11</v>
      </c>
      <c r="AA27" s="74" t="s">
        <v>26</v>
      </c>
      <c r="AB27" s="76" t="s">
        <v>145</v>
      </c>
      <c r="AC27" s="75" t="s">
        <v>14</v>
      </c>
      <c r="AD27" s="74" t="s">
        <v>15</v>
      </c>
      <c r="AE27" s="75" t="s">
        <v>325</v>
      </c>
      <c r="AF27" s="75">
        <f>377633404/O27</f>
        <v>103.03312511169347</v>
      </c>
      <c r="AG27" s="75" t="s">
        <v>16</v>
      </c>
      <c r="AH27" s="75" t="s">
        <v>17</v>
      </c>
      <c r="AI27" s="140" t="s">
        <v>18</v>
      </c>
      <c r="AJ27" s="146" t="s">
        <v>19</v>
      </c>
      <c r="AK27" s="77" t="s">
        <v>146</v>
      </c>
      <c r="AL27" s="77" t="s">
        <v>147</v>
      </c>
      <c r="AM27" s="82" t="s">
        <v>148</v>
      </c>
    </row>
    <row r="28" spans="1:39">
      <c r="A28" s="81" t="s">
        <v>149</v>
      </c>
      <c r="B28" s="69">
        <v>2009</v>
      </c>
      <c r="C28" s="98" t="s">
        <v>144</v>
      </c>
      <c r="D28" s="100">
        <v>1328</v>
      </c>
      <c r="E28" s="70" t="s">
        <v>150</v>
      </c>
      <c r="F28" s="70" t="s">
        <v>9</v>
      </c>
      <c r="G28" s="70" t="s">
        <v>9</v>
      </c>
      <c r="H28" s="71">
        <v>1328</v>
      </c>
      <c r="I28" s="70">
        <v>1328</v>
      </c>
      <c r="J28" s="70">
        <v>1328</v>
      </c>
      <c r="K28" s="70">
        <v>1328</v>
      </c>
      <c r="L28" s="101">
        <v>1328</v>
      </c>
      <c r="M28" s="131">
        <v>3388635</v>
      </c>
      <c r="N28" s="72">
        <v>3429019</v>
      </c>
      <c r="O28" s="72">
        <v>3429021</v>
      </c>
      <c r="P28" s="72">
        <v>3429006</v>
      </c>
      <c r="Q28" s="72">
        <v>3303211</v>
      </c>
      <c r="R28" s="72">
        <v>3303213</v>
      </c>
      <c r="S28" s="72">
        <v>3303198</v>
      </c>
      <c r="T28" s="72" t="s">
        <v>151</v>
      </c>
      <c r="U28" s="72">
        <v>37.74</v>
      </c>
      <c r="V28" s="72">
        <v>37.74</v>
      </c>
      <c r="W28" s="72">
        <v>37.74</v>
      </c>
      <c r="X28" s="73">
        <v>72</v>
      </c>
      <c r="Y28" s="132">
        <v>2</v>
      </c>
      <c r="Z28" s="139" t="s">
        <v>11</v>
      </c>
      <c r="AA28" s="74" t="s">
        <v>26</v>
      </c>
      <c r="AB28" s="76" t="s">
        <v>152</v>
      </c>
      <c r="AC28" s="75" t="s">
        <v>14</v>
      </c>
      <c r="AD28" s="74" t="s">
        <v>15</v>
      </c>
      <c r="AE28" s="75" t="s">
        <v>325</v>
      </c>
      <c r="AF28" s="75">
        <f>1220862195/O28</f>
        <v>356.03812137633452</v>
      </c>
      <c r="AG28" s="75" t="s">
        <v>16</v>
      </c>
      <c r="AH28" s="75" t="s">
        <v>17</v>
      </c>
      <c r="AI28" s="140" t="s">
        <v>18</v>
      </c>
      <c r="AJ28" s="146" t="s">
        <v>19</v>
      </c>
      <c r="AK28" s="77" t="s">
        <v>153</v>
      </c>
      <c r="AL28" s="77" t="s">
        <v>154</v>
      </c>
      <c r="AM28" s="82" t="s">
        <v>155</v>
      </c>
    </row>
    <row r="29" spans="1:39">
      <c r="A29" s="81" t="s">
        <v>156</v>
      </c>
      <c r="B29" s="69">
        <v>2015</v>
      </c>
      <c r="C29" s="98" t="s">
        <v>24</v>
      </c>
      <c r="D29" s="106">
        <v>1973</v>
      </c>
      <c r="E29" s="70">
        <v>1973</v>
      </c>
      <c r="F29" s="70" t="s">
        <v>9</v>
      </c>
      <c r="G29" s="70" t="s">
        <v>9</v>
      </c>
      <c r="H29" s="71">
        <v>1973</v>
      </c>
      <c r="I29" s="70">
        <v>1973</v>
      </c>
      <c r="J29" s="70">
        <v>1973</v>
      </c>
      <c r="K29" s="70">
        <v>1973</v>
      </c>
      <c r="L29" s="101">
        <v>1973</v>
      </c>
      <c r="M29" s="131">
        <v>3341846</v>
      </c>
      <c r="N29" s="72">
        <v>3376117</v>
      </c>
      <c r="O29" s="72">
        <v>3376120</v>
      </c>
      <c r="P29" s="72">
        <v>3376117</v>
      </c>
      <c r="Q29" s="72">
        <v>3315000</v>
      </c>
      <c r="R29" s="72">
        <v>3315003</v>
      </c>
      <c r="S29" s="72">
        <v>3315000</v>
      </c>
      <c r="T29" s="72" t="s">
        <v>157</v>
      </c>
      <c r="U29" s="72">
        <v>38.24</v>
      </c>
      <c r="V29" s="72">
        <v>38.24</v>
      </c>
      <c r="W29" s="72">
        <v>38.25</v>
      </c>
      <c r="X29" s="73">
        <v>66</v>
      </c>
      <c r="Y29" s="132">
        <v>2</v>
      </c>
      <c r="Z29" s="139" t="s">
        <v>11</v>
      </c>
      <c r="AA29" s="74" t="s">
        <v>26</v>
      </c>
      <c r="AB29" s="76" t="s">
        <v>158</v>
      </c>
      <c r="AC29" s="75" t="s">
        <v>14</v>
      </c>
      <c r="AD29" s="74" t="s">
        <v>15</v>
      </c>
      <c r="AE29" s="75" t="s">
        <v>325</v>
      </c>
      <c r="AF29" s="75">
        <f>1400737094/O29</f>
        <v>414.89552918735114</v>
      </c>
      <c r="AG29" s="75" t="s">
        <v>16</v>
      </c>
      <c r="AH29" s="75" t="s">
        <v>17</v>
      </c>
      <c r="AI29" s="140" t="s">
        <v>18</v>
      </c>
      <c r="AJ29" s="146" t="s">
        <v>19</v>
      </c>
      <c r="AK29" s="77" t="s">
        <v>159</v>
      </c>
      <c r="AL29" s="77" t="s">
        <v>160</v>
      </c>
      <c r="AM29" s="82" t="s">
        <v>161</v>
      </c>
    </row>
    <row r="30" spans="1:39">
      <c r="A30" s="81" t="s">
        <v>162</v>
      </c>
      <c r="B30" s="69">
        <v>2021</v>
      </c>
      <c r="C30" s="98" t="s">
        <v>40</v>
      </c>
      <c r="D30" s="100">
        <v>2110</v>
      </c>
      <c r="E30" s="70">
        <v>2110</v>
      </c>
      <c r="F30" s="70">
        <v>2110</v>
      </c>
      <c r="G30" s="70">
        <v>2110</v>
      </c>
      <c r="H30" s="71">
        <v>2110</v>
      </c>
      <c r="I30" s="71">
        <v>2110</v>
      </c>
      <c r="J30" s="71">
        <v>2110</v>
      </c>
      <c r="K30" s="70" t="s">
        <v>350</v>
      </c>
      <c r="L30" s="101" t="s">
        <v>350</v>
      </c>
      <c r="M30" s="131">
        <v>3669288</v>
      </c>
      <c r="N30" s="72">
        <v>3711857</v>
      </c>
      <c r="O30" s="72">
        <v>3711862</v>
      </c>
      <c r="P30" s="72">
        <v>3711852</v>
      </c>
      <c r="Q30" s="72">
        <v>3634417</v>
      </c>
      <c r="R30" s="72">
        <v>3634422</v>
      </c>
      <c r="S30" s="72">
        <v>3634411</v>
      </c>
      <c r="T30" s="72" t="s">
        <v>63</v>
      </c>
      <c r="U30" s="72">
        <v>38.380000000000003</v>
      </c>
      <c r="V30" s="72">
        <v>38.380000000000003</v>
      </c>
      <c r="W30" s="72">
        <v>38.39</v>
      </c>
      <c r="X30" s="73">
        <v>62</v>
      </c>
      <c r="Y30" s="132">
        <v>2</v>
      </c>
      <c r="Z30" s="139" t="s">
        <v>11</v>
      </c>
      <c r="AA30" s="75" t="s">
        <v>82</v>
      </c>
      <c r="AB30" s="76" t="s">
        <v>163</v>
      </c>
      <c r="AC30" s="75" t="s">
        <v>14</v>
      </c>
      <c r="AD30" s="74" t="s">
        <v>15</v>
      </c>
      <c r="AE30" s="75" t="s">
        <v>325</v>
      </c>
      <c r="AF30" s="75">
        <f>570848062/O30</f>
        <v>153.79021687767488</v>
      </c>
      <c r="AG30" s="75" t="s">
        <v>16</v>
      </c>
      <c r="AH30" s="75" t="s">
        <v>17</v>
      </c>
      <c r="AI30" s="140" t="s">
        <v>18</v>
      </c>
      <c r="AJ30" s="146" t="s">
        <v>19</v>
      </c>
      <c r="AK30" s="77" t="s">
        <v>164</v>
      </c>
      <c r="AL30" s="77" t="s">
        <v>165</v>
      </c>
      <c r="AM30" s="82" t="s">
        <v>166</v>
      </c>
    </row>
    <row r="31" spans="1:39">
      <c r="A31" s="81" t="s">
        <v>167</v>
      </c>
      <c r="B31" s="69">
        <v>2015</v>
      </c>
      <c r="C31" s="98" t="s">
        <v>24</v>
      </c>
      <c r="D31" s="100">
        <v>2118</v>
      </c>
      <c r="E31" s="70">
        <v>2118</v>
      </c>
      <c r="F31" s="70">
        <v>2118</v>
      </c>
      <c r="G31" s="70">
        <v>2118</v>
      </c>
      <c r="H31" s="71">
        <v>2118</v>
      </c>
      <c r="I31" s="71">
        <v>2118</v>
      </c>
      <c r="J31" s="71">
        <v>2118</v>
      </c>
      <c r="K31" s="71">
        <v>2118</v>
      </c>
      <c r="L31" s="105">
        <v>2118</v>
      </c>
      <c r="M31" s="131">
        <v>3453117</v>
      </c>
      <c r="N31" s="72">
        <v>3502808</v>
      </c>
      <c r="O31" s="72">
        <v>3502791</v>
      </c>
      <c r="P31" s="72">
        <v>3502887</v>
      </c>
      <c r="Q31" s="72">
        <v>3502808</v>
      </c>
      <c r="R31" s="72">
        <v>3502791</v>
      </c>
      <c r="S31" s="72">
        <v>3502887</v>
      </c>
      <c r="T31" s="72" t="s">
        <v>25</v>
      </c>
      <c r="U31" s="72">
        <v>38.369999999999997</v>
      </c>
      <c r="V31" s="72">
        <v>38.369999999999997</v>
      </c>
      <c r="W31" s="72">
        <v>38.380000000000003</v>
      </c>
      <c r="X31" s="73">
        <v>69</v>
      </c>
      <c r="Y31" s="132">
        <v>1</v>
      </c>
      <c r="Z31" s="139" t="s">
        <v>11</v>
      </c>
      <c r="AA31" s="74" t="s">
        <v>26</v>
      </c>
      <c r="AB31" s="76" t="s">
        <v>168</v>
      </c>
      <c r="AC31" s="75" t="s">
        <v>14</v>
      </c>
      <c r="AD31" s="74" t="s">
        <v>15</v>
      </c>
      <c r="AE31" s="75" t="s">
        <v>325</v>
      </c>
      <c r="AF31" s="75">
        <f>723586481/O31</f>
        <v>206.57426634931971</v>
      </c>
      <c r="AG31" s="75" t="s">
        <v>16</v>
      </c>
      <c r="AH31" s="75" t="s">
        <v>17</v>
      </c>
      <c r="AI31" s="140" t="s">
        <v>18</v>
      </c>
      <c r="AJ31" s="146" t="s">
        <v>19</v>
      </c>
      <c r="AK31" s="77" t="s">
        <v>169</v>
      </c>
      <c r="AL31" s="77" t="s">
        <v>170</v>
      </c>
      <c r="AM31" s="82" t="s">
        <v>171</v>
      </c>
    </row>
    <row r="32" spans="1:39">
      <c r="A32" s="81" t="s">
        <v>172</v>
      </c>
      <c r="B32" s="69">
        <v>2022</v>
      </c>
      <c r="C32" s="98" t="s">
        <v>57</v>
      </c>
      <c r="D32" s="100">
        <v>2454</v>
      </c>
      <c r="E32" s="70">
        <v>2454</v>
      </c>
      <c r="F32" s="70">
        <v>2454</v>
      </c>
      <c r="G32" s="70">
        <v>2454</v>
      </c>
      <c r="H32" s="71">
        <v>2454</v>
      </c>
      <c r="I32" s="71">
        <v>2454</v>
      </c>
      <c r="J32" s="71">
        <v>2454</v>
      </c>
      <c r="K32" s="71">
        <v>2454</v>
      </c>
      <c r="L32" s="101" t="s">
        <v>353</v>
      </c>
      <c r="M32" s="131">
        <v>3500565</v>
      </c>
      <c r="N32" s="72">
        <v>3542387</v>
      </c>
      <c r="O32" s="72">
        <v>3542389</v>
      </c>
      <c r="P32" s="72">
        <v>3542369</v>
      </c>
      <c r="Q32" s="72">
        <v>3542387</v>
      </c>
      <c r="R32" s="72">
        <v>3542389</v>
      </c>
      <c r="S32" s="72">
        <v>3542369</v>
      </c>
      <c r="T32" s="72" t="s">
        <v>173</v>
      </c>
      <c r="U32" s="72">
        <v>38.47</v>
      </c>
      <c r="V32" s="72">
        <v>38.47</v>
      </c>
      <c r="W32" s="72">
        <v>38.47</v>
      </c>
      <c r="X32" s="73">
        <v>52</v>
      </c>
      <c r="Y32" s="132">
        <v>1</v>
      </c>
      <c r="Z32" s="139" t="s">
        <v>11</v>
      </c>
      <c r="AA32" s="75" t="s">
        <v>12</v>
      </c>
      <c r="AB32" s="76" t="s">
        <v>174</v>
      </c>
      <c r="AC32" s="75" t="s">
        <v>14</v>
      </c>
      <c r="AD32" s="74" t="s">
        <v>15</v>
      </c>
      <c r="AE32" s="75" t="s">
        <v>325</v>
      </c>
      <c r="AF32" s="75">
        <f>137032972/O32</f>
        <v>38.683773013071125</v>
      </c>
      <c r="AG32" s="75" t="s">
        <v>16</v>
      </c>
      <c r="AH32" s="75" t="s">
        <v>17</v>
      </c>
      <c r="AI32" s="140" t="s">
        <v>18</v>
      </c>
      <c r="AJ32" s="146" t="s">
        <v>19</v>
      </c>
      <c r="AK32" s="77" t="s">
        <v>175</v>
      </c>
      <c r="AL32" s="77" t="s">
        <v>176</v>
      </c>
      <c r="AM32" s="82" t="s">
        <v>177</v>
      </c>
    </row>
    <row r="33" spans="1:39">
      <c r="A33" s="81" t="s">
        <v>178</v>
      </c>
      <c r="B33" s="69">
        <v>2022</v>
      </c>
      <c r="C33" s="98" t="s">
        <v>40</v>
      </c>
      <c r="D33" s="100">
        <v>2630</v>
      </c>
      <c r="E33" s="70">
        <v>2630</v>
      </c>
      <c r="F33" s="70">
        <v>2630</v>
      </c>
      <c r="G33" s="70">
        <v>2630</v>
      </c>
      <c r="H33" s="71">
        <v>2630</v>
      </c>
      <c r="I33" s="71">
        <v>2630</v>
      </c>
      <c r="J33" s="71">
        <v>2630</v>
      </c>
      <c r="K33" s="71">
        <v>2630</v>
      </c>
      <c r="L33" s="105">
        <v>2630</v>
      </c>
      <c r="M33" s="131">
        <v>3274554</v>
      </c>
      <c r="N33" s="72">
        <v>3330609</v>
      </c>
      <c r="O33" s="72">
        <v>3330619</v>
      </c>
      <c r="P33" s="72">
        <v>3330618</v>
      </c>
      <c r="Q33" s="72">
        <v>3330609</v>
      </c>
      <c r="R33" s="72">
        <v>3330619</v>
      </c>
      <c r="S33" s="72">
        <v>3330618</v>
      </c>
      <c r="T33" s="72" t="s">
        <v>99</v>
      </c>
      <c r="U33" s="72">
        <v>38.31</v>
      </c>
      <c r="V33" s="72">
        <v>38.31</v>
      </c>
      <c r="W33" s="72">
        <v>38.32</v>
      </c>
      <c r="X33" s="73">
        <v>78</v>
      </c>
      <c r="Y33" s="132">
        <v>1</v>
      </c>
      <c r="Z33" s="139" t="s">
        <v>11</v>
      </c>
      <c r="AA33" s="75" t="s">
        <v>12</v>
      </c>
      <c r="AB33" s="76" t="s">
        <v>179</v>
      </c>
      <c r="AC33" s="75" t="s">
        <v>14</v>
      </c>
      <c r="AD33" s="74" t="s">
        <v>15</v>
      </c>
      <c r="AE33" s="75" t="s">
        <v>325</v>
      </c>
      <c r="AF33" s="75">
        <f>1147339675/O33</f>
        <v>344.48241453015191</v>
      </c>
      <c r="AG33" s="75" t="s">
        <v>16</v>
      </c>
      <c r="AH33" s="75" t="s">
        <v>17</v>
      </c>
      <c r="AI33" s="140" t="s">
        <v>18</v>
      </c>
      <c r="AJ33" s="146" t="s">
        <v>19</v>
      </c>
      <c r="AK33" s="77" t="s">
        <v>180</v>
      </c>
      <c r="AL33" s="77" t="s">
        <v>181</v>
      </c>
      <c r="AM33" s="82" t="s">
        <v>182</v>
      </c>
    </row>
    <row r="34" spans="1:39">
      <c r="A34" s="81" t="s">
        <v>183</v>
      </c>
      <c r="B34" s="69">
        <v>2021</v>
      </c>
      <c r="C34" s="98" t="s">
        <v>40</v>
      </c>
      <c r="D34" s="106">
        <v>2923</v>
      </c>
      <c r="E34" s="70">
        <v>2923</v>
      </c>
      <c r="F34" s="70" t="s">
        <v>9</v>
      </c>
      <c r="G34" s="70">
        <v>2923</v>
      </c>
      <c r="H34" s="71">
        <v>2923</v>
      </c>
      <c r="I34" s="71">
        <v>2923</v>
      </c>
      <c r="J34" s="71">
        <v>2923</v>
      </c>
      <c r="K34" s="71">
        <v>2923</v>
      </c>
      <c r="L34" s="105">
        <v>2923</v>
      </c>
      <c r="M34" s="131">
        <v>3545333</v>
      </c>
      <c r="N34" s="72">
        <v>3610379</v>
      </c>
      <c r="O34" s="72">
        <v>3610383</v>
      </c>
      <c r="P34" s="72">
        <v>3610378</v>
      </c>
      <c r="Q34" s="72">
        <v>3610379</v>
      </c>
      <c r="R34" s="72">
        <v>3610383</v>
      </c>
      <c r="S34" s="72">
        <v>3610378</v>
      </c>
      <c r="T34" s="72" t="s">
        <v>184</v>
      </c>
      <c r="U34" s="72">
        <v>38.4</v>
      </c>
      <c r="V34" s="72">
        <v>38.4</v>
      </c>
      <c r="W34" s="72">
        <v>38.4</v>
      </c>
      <c r="X34" s="73">
        <v>87</v>
      </c>
      <c r="Y34" s="132">
        <v>1</v>
      </c>
      <c r="Z34" s="139" t="s">
        <v>11</v>
      </c>
      <c r="AA34" s="75" t="s">
        <v>12</v>
      </c>
      <c r="AB34" s="76" t="s">
        <v>185</v>
      </c>
      <c r="AC34" s="75" t="s">
        <v>14</v>
      </c>
      <c r="AD34" s="74" t="s">
        <v>15</v>
      </c>
      <c r="AE34" s="75" t="s">
        <v>325</v>
      </c>
      <c r="AF34" s="75">
        <f>1076804385/O34</f>
        <v>298.25212034291098</v>
      </c>
      <c r="AG34" s="75" t="s">
        <v>16</v>
      </c>
      <c r="AH34" s="75" t="s">
        <v>17</v>
      </c>
      <c r="AI34" s="140" t="s">
        <v>18</v>
      </c>
      <c r="AJ34" s="146" t="s">
        <v>19</v>
      </c>
      <c r="AK34" s="77" t="s">
        <v>186</v>
      </c>
      <c r="AL34" s="77" t="s">
        <v>187</v>
      </c>
      <c r="AM34" s="82" t="s">
        <v>188</v>
      </c>
    </row>
    <row r="35" spans="1:39">
      <c r="A35" s="81" t="s">
        <v>189</v>
      </c>
      <c r="B35" s="69">
        <v>2021</v>
      </c>
      <c r="C35" s="98" t="s">
        <v>57</v>
      </c>
      <c r="D35" s="106">
        <v>2923</v>
      </c>
      <c r="E35" s="70">
        <v>2923</v>
      </c>
      <c r="F35" s="70" t="s">
        <v>9</v>
      </c>
      <c r="G35" s="70">
        <v>2923</v>
      </c>
      <c r="H35" s="71">
        <v>2923</v>
      </c>
      <c r="I35" s="71">
        <v>2923</v>
      </c>
      <c r="J35" s="71">
        <v>2923</v>
      </c>
      <c r="K35" s="71">
        <v>2923</v>
      </c>
      <c r="L35" s="105">
        <v>2923</v>
      </c>
      <c r="M35" s="131">
        <v>3545444</v>
      </c>
      <c r="N35" s="72">
        <v>3610376</v>
      </c>
      <c r="O35" s="72">
        <v>3610380</v>
      </c>
      <c r="P35" s="72">
        <v>3610378</v>
      </c>
      <c r="Q35" s="72">
        <v>3610376</v>
      </c>
      <c r="R35" s="72">
        <v>3610380</v>
      </c>
      <c r="S35" s="72">
        <v>3610378</v>
      </c>
      <c r="T35" s="72" t="s">
        <v>184</v>
      </c>
      <c r="U35" s="72">
        <v>38.4</v>
      </c>
      <c r="V35" s="72">
        <v>38.4</v>
      </c>
      <c r="W35" s="72">
        <v>38.4</v>
      </c>
      <c r="X35" s="73">
        <v>86</v>
      </c>
      <c r="Y35" s="132">
        <v>1</v>
      </c>
      <c r="Z35" s="139" t="s">
        <v>11</v>
      </c>
      <c r="AA35" s="74" t="s">
        <v>26</v>
      </c>
      <c r="AB35" s="76" t="s">
        <v>190</v>
      </c>
      <c r="AC35" s="75" t="s">
        <v>14</v>
      </c>
      <c r="AD35" s="74" t="s">
        <v>15</v>
      </c>
      <c r="AE35" s="75" t="s">
        <v>325</v>
      </c>
      <c r="AF35" s="75">
        <f>907504686/O35</f>
        <v>251.35988067738023</v>
      </c>
      <c r="AG35" s="75" t="s">
        <v>16</v>
      </c>
      <c r="AH35" s="75" t="s">
        <v>17</v>
      </c>
      <c r="AI35" s="140" t="s">
        <v>18</v>
      </c>
      <c r="AJ35" s="146" t="s">
        <v>19</v>
      </c>
      <c r="AK35" s="77" t="s">
        <v>191</v>
      </c>
      <c r="AL35" s="77" t="s">
        <v>192</v>
      </c>
      <c r="AM35" s="82" t="s">
        <v>193</v>
      </c>
    </row>
    <row r="36" spans="1:39">
      <c r="A36" s="81" t="s">
        <v>194</v>
      </c>
      <c r="B36" s="69">
        <v>2014</v>
      </c>
      <c r="C36" s="98" t="s">
        <v>24</v>
      </c>
      <c r="D36" s="100">
        <v>3138</v>
      </c>
      <c r="E36" s="70">
        <v>3138</v>
      </c>
      <c r="F36" s="70" t="s">
        <v>9</v>
      </c>
      <c r="G36" s="70">
        <v>3138</v>
      </c>
      <c r="H36" s="71">
        <v>3138</v>
      </c>
      <c r="I36" s="71">
        <v>3138</v>
      </c>
      <c r="J36" s="71">
        <v>3138</v>
      </c>
      <c r="K36" s="71">
        <v>3138</v>
      </c>
      <c r="L36" s="105">
        <v>3138</v>
      </c>
      <c r="M36" s="131">
        <v>3522442</v>
      </c>
      <c r="N36" s="72">
        <v>3572682</v>
      </c>
      <c r="O36" s="72">
        <v>3572685</v>
      </c>
      <c r="P36" s="72">
        <v>3572683</v>
      </c>
      <c r="Q36" s="72">
        <v>3466040</v>
      </c>
      <c r="R36" s="72">
        <v>3466043</v>
      </c>
      <c r="S36" s="72">
        <v>3466041</v>
      </c>
      <c r="T36" s="72" t="s">
        <v>10</v>
      </c>
      <c r="U36" s="72">
        <v>38.35</v>
      </c>
      <c r="V36" s="72">
        <v>38.340000000000003</v>
      </c>
      <c r="W36" s="72">
        <v>38.35</v>
      </c>
      <c r="X36" s="73">
        <v>64</v>
      </c>
      <c r="Y36" s="132">
        <v>2</v>
      </c>
      <c r="Z36" s="139" t="s">
        <v>11</v>
      </c>
      <c r="AA36" s="74" t="s">
        <v>26</v>
      </c>
      <c r="AB36" s="76" t="s">
        <v>195</v>
      </c>
      <c r="AC36" s="75" t="s">
        <v>14</v>
      </c>
      <c r="AD36" s="74" t="s">
        <v>15</v>
      </c>
      <c r="AE36" s="75" t="s">
        <v>325</v>
      </c>
      <c r="AF36" s="75">
        <f>1857522975/O36</f>
        <v>519.92352390429051</v>
      </c>
      <c r="AG36" s="75" t="s">
        <v>16</v>
      </c>
      <c r="AH36" s="75" t="s">
        <v>17</v>
      </c>
      <c r="AI36" s="140" t="s">
        <v>18</v>
      </c>
      <c r="AJ36" s="146" t="s">
        <v>19</v>
      </c>
      <c r="AK36" s="77" t="s">
        <v>196</v>
      </c>
      <c r="AL36" s="77" t="s">
        <v>197</v>
      </c>
      <c r="AM36" s="82" t="s">
        <v>198</v>
      </c>
    </row>
    <row r="37" spans="1:39">
      <c r="A37" s="81" t="s">
        <v>199</v>
      </c>
      <c r="B37" s="69">
        <v>2013</v>
      </c>
      <c r="C37" s="98" t="s">
        <v>8</v>
      </c>
      <c r="D37" s="100">
        <v>3140</v>
      </c>
      <c r="E37" s="70">
        <v>3140</v>
      </c>
      <c r="F37" s="70" t="s">
        <v>9</v>
      </c>
      <c r="G37" s="70" t="s">
        <v>9</v>
      </c>
      <c r="H37" s="71">
        <v>3140</v>
      </c>
      <c r="I37" s="71">
        <v>3140</v>
      </c>
      <c r="J37" s="71">
        <v>3140</v>
      </c>
      <c r="K37" s="71">
        <v>3140</v>
      </c>
      <c r="L37" s="105">
        <v>3140</v>
      </c>
      <c r="M37" s="131">
        <v>3520923</v>
      </c>
      <c r="N37" s="72">
        <v>3646286</v>
      </c>
      <c r="O37" s="72">
        <v>3646283</v>
      </c>
      <c r="P37" s="72">
        <v>3646272</v>
      </c>
      <c r="Q37" s="72">
        <v>3405486</v>
      </c>
      <c r="R37" s="72">
        <v>3405484</v>
      </c>
      <c r="S37" s="72">
        <v>3405476</v>
      </c>
      <c r="T37" s="72" t="s">
        <v>200</v>
      </c>
      <c r="U37" s="72">
        <v>38.200000000000003</v>
      </c>
      <c r="V37" s="72">
        <v>38.200000000000003</v>
      </c>
      <c r="W37" s="72">
        <v>38.200000000000003</v>
      </c>
      <c r="X37" s="73">
        <v>121</v>
      </c>
      <c r="Y37" s="132">
        <v>3</v>
      </c>
      <c r="Z37" s="139" t="s">
        <v>11</v>
      </c>
      <c r="AA37" s="75" t="s">
        <v>12</v>
      </c>
      <c r="AB37" s="76" t="s">
        <v>201</v>
      </c>
      <c r="AC37" s="75" t="s">
        <v>14</v>
      </c>
      <c r="AD37" s="74" t="s">
        <v>15</v>
      </c>
      <c r="AE37" s="75" t="s">
        <v>325</v>
      </c>
      <c r="AF37" s="75">
        <f>160043869/O37</f>
        <v>43.892333370723009</v>
      </c>
      <c r="AG37" s="75" t="s">
        <v>16</v>
      </c>
      <c r="AH37" s="75" t="s">
        <v>17</v>
      </c>
      <c r="AI37" s="140" t="s">
        <v>18</v>
      </c>
      <c r="AJ37" s="146" t="s">
        <v>19</v>
      </c>
      <c r="AK37" s="77" t="s">
        <v>202</v>
      </c>
      <c r="AL37" s="77" t="s">
        <v>203</v>
      </c>
      <c r="AM37" s="82" t="s">
        <v>204</v>
      </c>
    </row>
    <row r="38" spans="1:39">
      <c r="A38" s="81" t="s">
        <v>205</v>
      </c>
      <c r="B38" s="69">
        <v>2013</v>
      </c>
      <c r="C38" s="98" t="s">
        <v>24</v>
      </c>
      <c r="D38" s="104">
        <v>3140</v>
      </c>
      <c r="E38" s="70">
        <v>3140</v>
      </c>
      <c r="F38" s="70" t="s">
        <v>9</v>
      </c>
      <c r="G38" s="70" t="s">
        <v>9</v>
      </c>
      <c r="H38" s="70" t="s">
        <v>206</v>
      </c>
      <c r="I38" s="71">
        <v>3140</v>
      </c>
      <c r="J38" s="71">
        <v>3140</v>
      </c>
      <c r="K38" s="71">
        <v>3140</v>
      </c>
      <c r="L38" s="105">
        <v>3140</v>
      </c>
      <c r="M38" s="131">
        <v>3522390</v>
      </c>
      <c r="N38" s="72">
        <v>3633467</v>
      </c>
      <c r="O38" s="72">
        <v>3633474</v>
      </c>
      <c r="P38" s="72">
        <v>3633467</v>
      </c>
      <c r="Q38" s="72">
        <v>3397194</v>
      </c>
      <c r="R38" s="72">
        <v>3397200</v>
      </c>
      <c r="S38" s="72">
        <v>3397193</v>
      </c>
      <c r="T38" s="72" t="s">
        <v>200</v>
      </c>
      <c r="U38" s="72">
        <v>38.200000000000003</v>
      </c>
      <c r="V38" s="72">
        <v>38.21</v>
      </c>
      <c r="W38" s="72">
        <v>38.21</v>
      </c>
      <c r="X38" s="73">
        <v>120</v>
      </c>
      <c r="Y38" s="132">
        <v>3</v>
      </c>
      <c r="Z38" s="139" t="s">
        <v>11</v>
      </c>
      <c r="AA38" s="75" t="s">
        <v>12</v>
      </c>
      <c r="AB38" s="76" t="s">
        <v>207</v>
      </c>
      <c r="AC38" s="75" t="s">
        <v>14</v>
      </c>
      <c r="AD38" s="74" t="s">
        <v>15</v>
      </c>
      <c r="AE38" s="75" t="s">
        <v>325</v>
      </c>
      <c r="AF38" s="75">
        <f>508511255/O38</f>
        <v>139.95180782909139</v>
      </c>
      <c r="AG38" s="75" t="s">
        <v>16</v>
      </c>
      <c r="AH38" s="75" t="s">
        <v>17</v>
      </c>
      <c r="AI38" s="140" t="s">
        <v>18</v>
      </c>
      <c r="AJ38" s="146" t="s">
        <v>19</v>
      </c>
      <c r="AK38" s="77" t="s">
        <v>208</v>
      </c>
      <c r="AL38" s="77" t="s">
        <v>209</v>
      </c>
      <c r="AM38" s="82" t="s">
        <v>210</v>
      </c>
    </row>
    <row r="39" spans="1:39" ht="15.75" thickBot="1">
      <c r="A39" s="87" t="s">
        <v>211</v>
      </c>
      <c r="B39" s="88">
        <v>2017</v>
      </c>
      <c r="C39" s="99" t="s">
        <v>40</v>
      </c>
      <c r="D39" s="108">
        <v>3142</v>
      </c>
      <c r="E39" s="90">
        <v>3142</v>
      </c>
      <c r="F39" s="90">
        <v>3142</v>
      </c>
      <c r="G39" s="90">
        <v>3142</v>
      </c>
      <c r="H39" s="89">
        <v>3142</v>
      </c>
      <c r="I39" s="89">
        <v>3142</v>
      </c>
      <c r="J39" s="89">
        <v>3142</v>
      </c>
      <c r="K39" s="89">
        <v>3142</v>
      </c>
      <c r="L39" s="109">
        <v>3142</v>
      </c>
      <c r="M39" s="134">
        <v>3350677</v>
      </c>
      <c r="N39" s="91">
        <v>3404236</v>
      </c>
      <c r="O39" s="91">
        <v>3404241</v>
      </c>
      <c r="P39" s="91">
        <v>3404229</v>
      </c>
      <c r="Q39" s="91">
        <v>3404236</v>
      </c>
      <c r="R39" s="91">
        <v>3404241</v>
      </c>
      <c r="S39" s="91">
        <v>3404229</v>
      </c>
      <c r="T39" s="91" t="s">
        <v>10</v>
      </c>
      <c r="U39" s="91">
        <v>38.340000000000003</v>
      </c>
      <c r="V39" s="91">
        <v>38.340000000000003</v>
      </c>
      <c r="W39" s="91">
        <v>38.35</v>
      </c>
      <c r="X39" s="92">
        <v>74</v>
      </c>
      <c r="Y39" s="135">
        <v>1</v>
      </c>
      <c r="Z39" s="142" t="s">
        <v>11</v>
      </c>
      <c r="AA39" s="94" t="s">
        <v>12</v>
      </c>
      <c r="AB39" s="95" t="s">
        <v>212</v>
      </c>
      <c r="AC39" s="94" t="s">
        <v>14</v>
      </c>
      <c r="AD39" s="93" t="s">
        <v>15</v>
      </c>
      <c r="AE39" s="94" t="s">
        <v>325</v>
      </c>
      <c r="AF39" s="94">
        <f>531774252/O39</f>
        <v>156.20934358055143</v>
      </c>
      <c r="AG39" s="94" t="s">
        <v>16</v>
      </c>
      <c r="AH39" s="94" t="s">
        <v>17</v>
      </c>
      <c r="AI39" s="143" t="s">
        <v>18</v>
      </c>
      <c r="AJ39" s="147" t="s">
        <v>19</v>
      </c>
      <c r="AK39" s="96" t="s">
        <v>213</v>
      </c>
      <c r="AL39" s="96" t="s">
        <v>214</v>
      </c>
      <c r="AM39" s="97" t="s">
        <v>215</v>
      </c>
    </row>
    <row r="40" spans="1:39">
      <c r="AJ40" s="14"/>
    </row>
  </sheetData>
  <mergeCells count="4">
    <mergeCell ref="AJ3:AM3"/>
    <mergeCell ref="D3:L3"/>
    <mergeCell ref="M3:Y3"/>
    <mergeCell ref="Z3:AI3"/>
  </mergeCells>
  <pageMargins left="0.7" right="0.7" top="0.75" bottom="0.75" header="0.51180555555555496" footer="0.51180555555555496"/>
  <pageSetup paperSize="9" firstPageNumber="0" orientation="portrait" r:id="rId1"/>
  <headerFooter>
    <oddFooter>&amp;L&amp;1#&amp;"Calibri"&amp;10&amp;K000000Følsomhet Intern (gul)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50"/>
  <sheetViews>
    <sheetView zoomScaleNormal="100" workbookViewId="0"/>
  </sheetViews>
  <sheetFormatPr baseColWidth="10" defaultColWidth="10.28515625" defaultRowHeight="15"/>
  <cols>
    <col min="1" max="1" width="17.140625" style="2" customWidth="1"/>
    <col min="2" max="2" width="10.28515625" style="2"/>
    <col min="3" max="3" width="19.28515625" style="2" bestFit="1" customWidth="1"/>
    <col min="4" max="4" width="17.85546875" style="10" customWidth="1"/>
    <col min="5" max="5" width="11.7109375" style="10" bestFit="1" customWidth="1"/>
    <col min="6" max="6" width="10.28515625" style="10"/>
    <col min="7" max="13" width="10.28515625" style="2"/>
    <col min="14" max="14" width="13.42578125" style="2" customWidth="1"/>
    <col min="15" max="15" width="20.7109375" style="2" customWidth="1"/>
    <col min="16" max="16" width="16.42578125" style="2" customWidth="1"/>
    <col min="17" max="17" width="25.7109375" style="2" customWidth="1"/>
    <col min="18" max="16384" width="10.28515625" style="2"/>
  </cols>
  <sheetData>
    <row r="1" spans="1:18" s="6" customFormat="1" ht="15.75">
      <c r="A1" s="20" t="s">
        <v>465</v>
      </c>
      <c r="B1" s="5"/>
      <c r="C1" s="5"/>
      <c r="E1" s="7"/>
      <c r="F1" s="7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5.75" thickBot="1"/>
    <row r="3" spans="1:18" ht="27" customHeight="1" thickBot="1">
      <c r="A3" s="153"/>
      <c r="B3" s="154"/>
      <c r="C3" s="155"/>
      <c r="D3" s="156" t="s">
        <v>265</v>
      </c>
      <c r="E3" s="157" t="s">
        <v>266</v>
      </c>
      <c r="F3" s="247" t="s">
        <v>267</v>
      </c>
      <c r="G3" s="247"/>
      <c r="H3" s="247"/>
      <c r="I3" s="247"/>
      <c r="J3" s="247"/>
      <c r="K3" s="247"/>
      <c r="L3" s="247"/>
      <c r="M3" s="248"/>
      <c r="N3" s="8"/>
      <c r="O3" s="249" t="s">
        <v>448</v>
      </c>
      <c r="P3" s="250"/>
      <c r="Q3" s="251"/>
      <c r="R3" s="1"/>
    </row>
    <row r="4" spans="1:18" ht="15.75" thickBot="1">
      <c r="A4" s="43" t="s">
        <v>224</v>
      </c>
      <c r="B4" s="44" t="s">
        <v>3</v>
      </c>
      <c r="C4" s="45" t="s">
        <v>4</v>
      </c>
      <c r="D4" s="159" t="s">
        <v>225</v>
      </c>
      <c r="E4" s="160" t="s">
        <v>225</v>
      </c>
      <c r="F4" s="160" t="s">
        <v>225</v>
      </c>
      <c r="G4" s="161" t="s">
        <v>461</v>
      </c>
      <c r="H4" s="161" t="s">
        <v>268</v>
      </c>
      <c r="I4" s="161" t="s">
        <v>269</v>
      </c>
      <c r="J4" s="161" t="s">
        <v>270</v>
      </c>
      <c r="K4" s="161" t="s">
        <v>271</v>
      </c>
      <c r="L4" s="161" t="s">
        <v>272</v>
      </c>
      <c r="M4" s="162" t="s">
        <v>462</v>
      </c>
      <c r="N4" s="42" t="s">
        <v>460</v>
      </c>
      <c r="O4" s="163" t="s">
        <v>6</v>
      </c>
      <c r="P4" s="164" t="s">
        <v>447</v>
      </c>
      <c r="Q4" s="165" t="s">
        <v>473</v>
      </c>
      <c r="R4" s="9"/>
    </row>
    <row r="5" spans="1:18">
      <c r="A5" s="36" t="s">
        <v>273</v>
      </c>
      <c r="B5" s="37">
        <v>2019</v>
      </c>
      <c r="C5" s="158" t="s">
        <v>24</v>
      </c>
      <c r="D5" s="61"/>
      <c r="E5" s="39">
        <v>1165</v>
      </c>
      <c r="F5" s="38">
        <v>1165</v>
      </c>
      <c r="G5" s="38">
        <v>2</v>
      </c>
      <c r="H5" s="38">
        <v>10</v>
      </c>
      <c r="I5" s="38">
        <v>9</v>
      </c>
      <c r="J5" s="38">
        <v>12</v>
      </c>
      <c r="K5" s="38">
        <v>2</v>
      </c>
      <c r="L5" s="38">
        <v>6</v>
      </c>
      <c r="M5" s="62">
        <v>6</v>
      </c>
      <c r="N5" s="57" t="s">
        <v>458</v>
      </c>
      <c r="O5" s="54" t="s">
        <v>19</v>
      </c>
      <c r="P5" s="40" t="s">
        <v>355</v>
      </c>
      <c r="Q5" s="41" t="s">
        <v>356</v>
      </c>
      <c r="R5" s="1"/>
    </row>
    <row r="6" spans="1:18">
      <c r="A6" s="32" t="s">
        <v>274</v>
      </c>
      <c r="B6" s="33">
        <v>2022</v>
      </c>
      <c r="C6" s="151" t="s">
        <v>24</v>
      </c>
      <c r="D6" s="63"/>
      <c r="E6" s="3">
        <v>9</v>
      </c>
      <c r="F6" s="3">
        <v>9</v>
      </c>
      <c r="G6" s="3">
        <v>3</v>
      </c>
      <c r="H6" s="3">
        <v>10</v>
      </c>
      <c r="I6" s="3">
        <v>1</v>
      </c>
      <c r="J6" s="3">
        <v>3</v>
      </c>
      <c r="K6" s="3">
        <v>14</v>
      </c>
      <c r="L6" s="3">
        <v>9</v>
      </c>
      <c r="M6" s="64">
        <v>11</v>
      </c>
      <c r="N6" s="58" t="s">
        <v>458</v>
      </c>
      <c r="O6" s="55" t="s">
        <v>19</v>
      </c>
      <c r="P6" s="28" t="s">
        <v>357</v>
      </c>
      <c r="Q6" s="29" t="s">
        <v>358</v>
      </c>
      <c r="R6" s="1"/>
    </row>
    <row r="7" spans="1:18">
      <c r="A7" s="32" t="s">
        <v>275</v>
      </c>
      <c r="B7" s="33">
        <v>2022</v>
      </c>
      <c r="C7" s="151" t="s">
        <v>276</v>
      </c>
      <c r="D7" s="65">
        <v>1</v>
      </c>
      <c r="E7" s="4">
        <v>1</v>
      </c>
      <c r="F7" s="3">
        <v>1</v>
      </c>
      <c r="G7" s="3">
        <v>1</v>
      </c>
      <c r="H7" s="3">
        <v>4</v>
      </c>
      <c r="I7" s="3">
        <v>3</v>
      </c>
      <c r="J7" s="3">
        <v>1</v>
      </c>
      <c r="K7" s="3">
        <v>1</v>
      </c>
      <c r="L7" s="3">
        <v>1</v>
      </c>
      <c r="M7" s="64">
        <v>1</v>
      </c>
      <c r="N7" s="59" t="s">
        <v>459</v>
      </c>
      <c r="O7" s="55" t="s">
        <v>19</v>
      </c>
      <c r="P7" s="28" t="s">
        <v>359</v>
      </c>
      <c r="Q7" s="29" t="s">
        <v>360</v>
      </c>
      <c r="R7" s="1"/>
    </row>
    <row r="8" spans="1:18">
      <c r="A8" s="32" t="s">
        <v>277</v>
      </c>
      <c r="B8" s="33">
        <v>2022</v>
      </c>
      <c r="C8" s="151" t="s">
        <v>24</v>
      </c>
      <c r="D8" s="63"/>
      <c r="E8" s="3">
        <v>42</v>
      </c>
      <c r="F8" s="3">
        <v>42</v>
      </c>
      <c r="G8" s="3">
        <v>4</v>
      </c>
      <c r="H8" s="3">
        <v>7</v>
      </c>
      <c r="I8" s="3">
        <v>11</v>
      </c>
      <c r="J8" s="3">
        <v>3</v>
      </c>
      <c r="K8" s="3">
        <v>11</v>
      </c>
      <c r="L8" s="3">
        <v>12</v>
      </c>
      <c r="M8" s="64">
        <v>9</v>
      </c>
      <c r="N8" s="58" t="s">
        <v>458</v>
      </c>
      <c r="O8" s="55" t="s">
        <v>19</v>
      </c>
      <c r="P8" s="28" t="s">
        <v>361</v>
      </c>
      <c r="Q8" s="29" t="s">
        <v>362</v>
      </c>
      <c r="R8" s="1"/>
    </row>
    <row r="9" spans="1:18">
      <c r="A9" s="32" t="s">
        <v>278</v>
      </c>
      <c r="B9" s="33">
        <v>2013</v>
      </c>
      <c r="C9" s="151" t="s">
        <v>24</v>
      </c>
      <c r="D9" s="63"/>
      <c r="E9" s="3">
        <v>23</v>
      </c>
      <c r="F9" s="3">
        <v>23</v>
      </c>
      <c r="G9" s="3">
        <v>2</v>
      </c>
      <c r="H9" s="3">
        <v>3</v>
      </c>
      <c r="I9" s="3">
        <v>9</v>
      </c>
      <c r="J9" s="3">
        <v>10</v>
      </c>
      <c r="K9" s="3">
        <v>2</v>
      </c>
      <c r="L9" s="3">
        <v>1</v>
      </c>
      <c r="M9" s="64">
        <v>6</v>
      </c>
      <c r="N9" s="58" t="s">
        <v>459</v>
      </c>
      <c r="O9" s="55" t="s">
        <v>19</v>
      </c>
      <c r="P9" s="28" t="s">
        <v>363</v>
      </c>
      <c r="Q9" s="29" t="s">
        <v>364</v>
      </c>
      <c r="R9" s="1"/>
    </row>
    <row r="10" spans="1:18">
      <c r="A10" s="32" t="s">
        <v>279</v>
      </c>
      <c r="B10" s="33">
        <v>2013</v>
      </c>
      <c r="C10" s="151" t="s">
        <v>24</v>
      </c>
      <c r="D10" s="63">
        <v>1</v>
      </c>
      <c r="E10" s="3">
        <v>1</v>
      </c>
      <c r="F10" s="3">
        <v>1</v>
      </c>
      <c r="G10" s="3">
        <v>1</v>
      </c>
      <c r="H10" s="3">
        <v>4</v>
      </c>
      <c r="I10" s="3">
        <v>3</v>
      </c>
      <c r="J10" s="3">
        <v>1</v>
      </c>
      <c r="K10" s="3">
        <v>1</v>
      </c>
      <c r="L10" s="3">
        <v>1</v>
      </c>
      <c r="M10" s="64">
        <v>1</v>
      </c>
      <c r="N10" s="58" t="s">
        <v>459</v>
      </c>
      <c r="O10" s="55" t="s">
        <v>19</v>
      </c>
      <c r="P10" s="28" t="s">
        <v>365</v>
      </c>
      <c r="Q10" s="29" t="s">
        <v>366</v>
      </c>
      <c r="R10" s="1"/>
    </row>
    <row r="11" spans="1:18">
      <c r="A11" s="32" t="s">
        <v>280</v>
      </c>
      <c r="B11" s="33">
        <v>2013</v>
      </c>
      <c r="C11" s="151" t="s">
        <v>24</v>
      </c>
      <c r="D11" s="66"/>
      <c r="E11" s="3">
        <v>2256</v>
      </c>
      <c r="F11" s="3">
        <v>2256</v>
      </c>
      <c r="G11" s="3">
        <v>16</v>
      </c>
      <c r="H11" s="3">
        <v>21</v>
      </c>
      <c r="I11" s="3">
        <v>33</v>
      </c>
      <c r="J11" s="3">
        <v>37</v>
      </c>
      <c r="K11" s="3">
        <v>41</v>
      </c>
      <c r="L11" s="3">
        <v>1</v>
      </c>
      <c r="M11" s="64">
        <v>222</v>
      </c>
      <c r="N11" s="58" t="s">
        <v>459</v>
      </c>
      <c r="O11" s="55" t="s">
        <v>19</v>
      </c>
      <c r="P11" s="28" t="s">
        <v>367</v>
      </c>
      <c r="Q11" s="29" t="s">
        <v>368</v>
      </c>
      <c r="R11" s="1"/>
    </row>
    <row r="12" spans="1:18">
      <c r="A12" s="32" t="s">
        <v>281</v>
      </c>
      <c r="B12" s="33">
        <v>2013</v>
      </c>
      <c r="C12" s="151" t="s">
        <v>8</v>
      </c>
      <c r="D12" s="63"/>
      <c r="E12" s="3">
        <v>2256</v>
      </c>
      <c r="F12" s="3">
        <v>2256</v>
      </c>
      <c r="G12" s="3">
        <v>16</v>
      </c>
      <c r="H12" s="3">
        <v>21</v>
      </c>
      <c r="I12" s="3">
        <v>33</v>
      </c>
      <c r="J12" s="3">
        <v>37</v>
      </c>
      <c r="K12" s="3">
        <v>41</v>
      </c>
      <c r="L12" s="3">
        <v>1</v>
      </c>
      <c r="M12" s="64">
        <v>222</v>
      </c>
      <c r="N12" s="59" t="s">
        <v>458</v>
      </c>
      <c r="O12" s="55" t="s">
        <v>19</v>
      </c>
      <c r="P12" s="28" t="s">
        <v>369</v>
      </c>
      <c r="Q12" s="29" t="s">
        <v>370</v>
      </c>
      <c r="R12" s="1"/>
    </row>
    <row r="13" spans="1:18">
      <c r="A13" s="32" t="s">
        <v>282</v>
      </c>
      <c r="B13" s="33">
        <v>2013</v>
      </c>
      <c r="C13" s="151" t="s">
        <v>8</v>
      </c>
      <c r="D13" s="63">
        <v>1</v>
      </c>
      <c r="E13" s="3">
        <v>1</v>
      </c>
      <c r="F13" s="3">
        <v>1</v>
      </c>
      <c r="G13" s="3">
        <v>1</v>
      </c>
      <c r="H13" s="3">
        <v>4</v>
      </c>
      <c r="I13" s="3">
        <v>3</v>
      </c>
      <c r="J13" s="3">
        <v>1</v>
      </c>
      <c r="K13" s="3">
        <v>1</v>
      </c>
      <c r="L13" s="3">
        <v>1</v>
      </c>
      <c r="M13" s="64">
        <v>1</v>
      </c>
      <c r="N13" s="59" t="s">
        <v>459</v>
      </c>
      <c r="O13" s="55" t="s">
        <v>19</v>
      </c>
      <c r="P13" s="28" t="s">
        <v>371</v>
      </c>
      <c r="Q13" s="29" t="s">
        <v>372</v>
      </c>
      <c r="R13" s="1"/>
    </row>
    <row r="14" spans="1:18">
      <c r="A14" s="32" t="s">
        <v>283</v>
      </c>
      <c r="B14" s="33">
        <v>2013</v>
      </c>
      <c r="C14" s="151" t="s">
        <v>8</v>
      </c>
      <c r="D14" s="63">
        <v>1</v>
      </c>
      <c r="E14" s="3">
        <v>1</v>
      </c>
      <c r="F14" s="3">
        <v>1</v>
      </c>
      <c r="G14" s="3">
        <v>1</v>
      </c>
      <c r="H14" s="3">
        <v>4</v>
      </c>
      <c r="I14" s="3">
        <v>3</v>
      </c>
      <c r="J14" s="3">
        <v>1</v>
      </c>
      <c r="K14" s="3">
        <v>1</v>
      </c>
      <c r="L14" s="3">
        <v>1</v>
      </c>
      <c r="M14" s="64">
        <v>1</v>
      </c>
      <c r="N14" s="59" t="s">
        <v>459</v>
      </c>
      <c r="O14" s="55" t="s">
        <v>19</v>
      </c>
      <c r="P14" s="28" t="s">
        <v>373</v>
      </c>
      <c r="Q14" s="29" t="s">
        <v>374</v>
      </c>
      <c r="R14" s="1"/>
    </row>
    <row r="15" spans="1:18">
      <c r="A15" s="32" t="s">
        <v>284</v>
      </c>
      <c r="B15" s="33">
        <v>2013</v>
      </c>
      <c r="C15" s="151" t="s">
        <v>8</v>
      </c>
      <c r="D15" s="63">
        <v>1</v>
      </c>
      <c r="E15" s="3">
        <v>1</v>
      </c>
      <c r="F15" s="3">
        <v>1</v>
      </c>
      <c r="G15" s="3">
        <v>1</v>
      </c>
      <c r="H15" s="3">
        <v>4</v>
      </c>
      <c r="I15" s="3">
        <v>3</v>
      </c>
      <c r="J15" s="3">
        <v>1</v>
      </c>
      <c r="K15" s="3">
        <v>1</v>
      </c>
      <c r="L15" s="3">
        <v>1</v>
      </c>
      <c r="M15" s="64">
        <v>1</v>
      </c>
      <c r="N15" s="59" t="s">
        <v>459</v>
      </c>
      <c r="O15" s="55" t="s">
        <v>19</v>
      </c>
      <c r="P15" s="28" t="s">
        <v>375</v>
      </c>
      <c r="Q15" s="29" t="s">
        <v>376</v>
      </c>
      <c r="R15" s="1"/>
    </row>
    <row r="16" spans="1:18">
      <c r="A16" s="32" t="s">
        <v>285</v>
      </c>
      <c r="B16" s="33">
        <v>2013</v>
      </c>
      <c r="C16" s="151" t="s">
        <v>8</v>
      </c>
      <c r="D16" s="63">
        <v>1</v>
      </c>
      <c r="E16" s="3">
        <v>1</v>
      </c>
      <c r="F16" s="3">
        <v>1</v>
      </c>
      <c r="G16" s="3">
        <v>1</v>
      </c>
      <c r="H16" s="3">
        <v>4</v>
      </c>
      <c r="I16" s="3">
        <v>3</v>
      </c>
      <c r="J16" s="3">
        <v>1</v>
      </c>
      <c r="K16" s="3">
        <v>1</v>
      </c>
      <c r="L16" s="3">
        <v>1</v>
      </c>
      <c r="M16" s="64">
        <v>1</v>
      </c>
      <c r="N16" s="59" t="s">
        <v>459</v>
      </c>
      <c r="O16" s="55" t="s">
        <v>19</v>
      </c>
      <c r="P16" s="28" t="s">
        <v>377</v>
      </c>
      <c r="Q16" s="29" t="s">
        <v>378</v>
      </c>
      <c r="R16" s="1"/>
    </row>
    <row r="17" spans="1:18">
      <c r="A17" s="32" t="s">
        <v>286</v>
      </c>
      <c r="B17" s="33">
        <v>2013</v>
      </c>
      <c r="C17" s="151" t="s">
        <v>8</v>
      </c>
      <c r="D17" s="63">
        <v>1</v>
      </c>
      <c r="E17" s="3">
        <v>1</v>
      </c>
      <c r="F17" s="3">
        <v>1</v>
      </c>
      <c r="G17" s="3">
        <v>1</v>
      </c>
      <c r="H17" s="3">
        <v>4</v>
      </c>
      <c r="I17" s="3">
        <v>3</v>
      </c>
      <c r="J17" s="3">
        <v>1</v>
      </c>
      <c r="K17" s="3">
        <v>1</v>
      </c>
      <c r="L17" s="3">
        <v>1</v>
      </c>
      <c r="M17" s="64">
        <v>1</v>
      </c>
      <c r="N17" s="59" t="s">
        <v>459</v>
      </c>
      <c r="O17" s="55" t="s">
        <v>19</v>
      </c>
      <c r="P17" s="28" t="s">
        <v>379</v>
      </c>
      <c r="Q17" s="29" t="s">
        <v>380</v>
      </c>
      <c r="R17" s="1"/>
    </row>
    <row r="18" spans="1:18">
      <c r="A18" s="32" t="s">
        <v>287</v>
      </c>
      <c r="B18" s="33">
        <v>2013</v>
      </c>
      <c r="C18" s="151" t="s">
        <v>8</v>
      </c>
      <c r="D18" s="63">
        <v>1</v>
      </c>
      <c r="E18" s="3">
        <v>1</v>
      </c>
      <c r="F18" s="3">
        <v>1</v>
      </c>
      <c r="G18" s="3">
        <v>1</v>
      </c>
      <c r="H18" s="3">
        <v>4</v>
      </c>
      <c r="I18" s="3">
        <v>3</v>
      </c>
      <c r="J18" s="3">
        <v>1</v>
      </c>
      <c r="K18" s="3">
        <v>1</v>
      </c>
      <c r="L18" s="3">
        <v>1</v>
      </c>
      <c r="M18" s="64">
        <v>1</v>
      </c>
      <c r="N18" s="59" t="s">
        <v>459</v>
      </c>
      <c r="O18" s="55" t="s">
        <v>19</v>
      </c>
      <c r="P18" s="28" t="s">
        <v>381</v>
      </c>
      <c r="Q18" s="29" t="s">
        <v>382</v>
      </c>
      <c r="R18" s="1"/>
    </row>
    <row r="19" spans="1:18">
      <c r="A19" s="32" t="s">
        <v>288</v>
      </c>
      <c r="B19" s="33">
        <v>2013</v>
      </c>
      <c r="C19" s="151" t="s">
        <v>8</v>
      </c>
      <c r="D19" s="63"/>
      <c r="E19" s="3">
        <v>1327</v>
      </c>
      <c r="F19" s="3">
        <v>1327</v>
      </c>
      <c r="G19" s="3">
        <v>11</v>
      </c>
      <c r="H19" s="3">
        <v>14</v>
      </c>
      <c r="I19" s="3">
        <v>16</v>
      </c>
      <c r="J19" s="3">
        <v>31</v>
      </c>
      <c r="K19" s="3">
        <v>15</v>
      </c>
      <c r="L19" s="3">
        <v>13</v>
      </c>
      <c r="M19" s="64">
        <v>210</v>
      </c>
      <c r="N19" s="59" t="s">
        <v>459</v>
      </c>
      <c r="O19" s="55" t="s">
        <v>19</v>
      </c>
      <c r="P19" s="28" t="s">
        <v>383</v>
      </c>
      <c r="Q19" s="29" t="s">
        <v>384</v>
      </c>
      <c r="R19" s="1"/>
    </row>
    <row r="20" spans="1:18">
      <c r="A20" s="32" t="s">
        <v>289</v>
      </c>
      <c r="B20" s="33">
        <v>2013</v>
      </c>
      <c r="C20" s="151" t="s">
        <v>8</v>
      </c>
      <c r="D20" s="63">
        <v>3162</v>
      </c>
      <c r="E20" s="3">
        <v>3162</v>
      </c>
      <c r="F20" s="3">
        <v>3162</v>
      </c>
      <c r="G20" s="3">
        <v>6</v>
      </c>
      <c r="H20" s="3">
        <v>10</v>
      </c>
      <c r="I20" s="3">
        <v>3</v>
      </c>
      <c r="J20" s="3">
        <v>28</v>
      </c>
      <c r="K20" s="3">
        <v>19</v>
      </c>
      <c r="L20" s="3">
        <v>4</v>
      </c>
      <c r="M20" s="64">
        <v>6</v>
      </c>
      <c r="N20" s="59" t="s">
        <v>459</v>
      </c>
      <c r="O20" s="55" t="s">
        <v>19</v>
      </c>
      <c r="P20" s="28" t="s">
        <v>385</v>
      </c>
      <c r="Q20" s="29" t="s">
        <v>386</v>
      </c>
      <c r="R20" s="1"/>
    </row>
    <row r="21" spans="1:18">
      <c r="A21" s="32" t="s">
        <v>290</v>
      </c>
      <c r="B21" s="33">
        <v>2013</v>
      </c>
      <c r="C21" s="151" t="s">
        <v>8</v>
      </c>
      <c r="D21" s="63">
        <v>3163</v>
      </c>
      <c r="E21" s="3">
        <v>3163</v>
      </c>
      <c r="F21" s="3">
        <v>3163</v>
      </c>
      <c r="G21" s="3">
        <v>3</v>
      </c>
      <c r="H21" s="3">
        <v>13</v>
      </c>
      <c r="I21" s="3">
        <v>1</v>
      </c>
      <c r="J21" s="3">
        <v>3</v>
      </c>
      <c r="K21" s="3">
        <v>1</v>
      </c>
      <c r="L21" s="3">
        <v>9</v>
      </c>
      <c r="M21" s="64">
        <v>207</v>
      </c>
      <c r="N21" s="59" t="s">
        <v>459</v>
      </c>
      <c r="O21" s="55" t="s">
        <v>19</v>
      </c>
      <c r="P21" s="28" t="s">
        <v>387</v>
      </c>
      <c r="Q21" s="29" t="s">
        <v>388</v>
      </c>
      <c r="R21" s="1"/>
    </row>
    <row r="22" spans="1:18">
      <c r="A22" s="32" t="s">
        <v>291</v>
      </c>
      <c r="B22" s="33">
        <v>2014</v>
      </c>
      <c r="C22" s="151" t="s">
        <v>8</v>
      </c>
      <c r="D22" s="63">
        <v>1819</v>
      </c>
      <c r="E22" s="3">
        <v>1819</v>
      </c>
      <c r="F22" s="3">
        <v>1819</v>
      </c>
      <c r="G22" s="3">
        <v>1</v>
      </c>
      <c r="H22" s="3">
        <v>4</v>
      </c>
      <c r="I22" s="3">
        <v>3</v>
      </c>
      <c r="J22" s="3">
        <v>12</v>
      </c>
      <c r="K22" s="3">
        <v>1</v>
      </c>
      <c r="L22" s="3">
        <v>1</v>
      </c>
      <c r="M22" s="64">
        <v>1</v>
      </c>
      <c r="N22" s="59" t="s">
        <v>459</v>
      </c>
      <c r="O22" s="55" t="s">
        <v>19</v>
      </c>
      <c r="P22" s="28" t="s">
        <v>389</v>
      </c>
      <c r="Q22" s="29" t="s">
        <v>390</v>
      </c>
      <c r="R22" s="1"/>
    </row>
    <row r="23" spans="1:18">
      <c r="A23" s="32" t="s">
        <v>292</v>
      </c>
      <c r="B23" s="33">
        <v>2014</v>
      </c>
      <c r="C23" s="151" t="s">
        <v>24</v>
      </c>
      <c r="D23" s="63">
        <v>23</v>
      </c>
      <c r="E23" s="3">
        <v>1012</v>
      </c>
      <c r="F23" s="3">
        <v>23</v>
      </c>
      <c r="G23" s="3">
        <v>2</v>
      </c>
      <c r="H23" s="3">
        <v>3</v>
      </c>
      <c r="I23" s="3">
        <v>9</v>
      </c>
      <c r="J23" s="3">
        <v>10</v>
      </c>
      <c r="K23" s="3">
        <v>2</v>
      </c>
      <c r="L23" s="3">
        <v>1</v>
      </c>
      <c r="M23" s="64">
        <v>6</v>
      </c>
      <c r="N23" s="59" t="s">
        <v>459</v>
      </c>
      <c r="O23" s="55" t="s">
        <v>19</v>
      </c>
      <c r="P23" s="28" t="s">
        <v>391</v>
      </c>
      <c r="Q23" s="29" t="s">
        <v>392</v>
      </c>
      <c r="R23" s="1"/>
    </row>
    <row r="24" spans="1:18">
      <c r="A24" s="32" t="s">
        <v>293</v>
      </c>
      <c r="B24" s="33">
        <v>2014</v>
      </c>
      <c r="C24" s="151" t="s">
        <v>24</v>
      </c>
      <c r="D24" s="63">
        <v>16</v>
      </c>
      <c r="E24" s="3">
        <v>16</v>
      </c>
      <c r="F24" s="3">
        <v>16</v>
      </c>
      <c r="G24" s="3">
        <v>2</v>
      </c>
      <c r="H24" s="3">
        <v>10</v>
      </c>
      <c r="I24" s="3">
        <v>18</v>
      </c>
      <c r="J24" s="3">
        <v>10</v>
      </c>
      <c r="K24" s="3">
        <v>2</v>
      </c>
      <c r="L24" s="3">
        <v>1</v>
      </c>
      <c r="M24" s="64">
        <v>9</v>
      </c>
      <c r="N24" s="59" t="s">
        <v>459</v>
      </c>
      <c r="O24" s="55" t="s">
        <v>19</v>
      </c>
      <c r="P24" s="28" t="s">
        <v>393</v>
      </c>
      <c r="Q24" s="29" t="s">
        <v>394</v>
      </c>
      <c r="R24" s="1"/>
    </row>
    <row r="25" spans="1:18">
      <c r="A25" s="32" t="s">
        <v>294</v>
      </c>
      <c r="B25" s="33">
        <v>2014</v>
      </c>
      <c r="C25" s="151" t="s">
        <v>8</v>
      </c>
      <c r="D25" s="63">
        <v>607</v>
      </c>
      <c r="E25" s="3">
        <v>607</v>
      </c>
      <c r="F25" s="3">
        <v>607</v>
      </c>
      <c r="G25" s="3">
        <v>11</v>
      </c>
      <c r="H25" s="3">
        <v>14</v>
      </c>
      <c r="I25" s="3">
        <v>16</v>
      </c>
      <c r="J25" s="3">
        <v>16</v>
      </c>
      <c r="K25" s="3">
        <v>15</v>
      </c>
      <c r="L25" s="3">
        <v>13</v>
      </c>
      <c r="M25" s="64">
        <v>1</v>
      </c>
      <c r="N25" s="59" t="s">
        <v>459</v>
      </c>
      <c r="O25" s="55" t="s">
        <v>19</v>
      </c>
      <c r="P25" s="28" t="s">
        <v>395</v>
      </c>
      <c r="Q25" s="29" t="s">
        <v>396</v>
      </c>
      <c r="R25" s="1"/>
    </row>
    <row r="26" spans="1:18">
      <c r="A26" s="32" t="s">
        <v>295</v>
      </c>
      <c r="B26" s="33">
        <v>2014</v>
      </c>
      <c r="C26" s="151" t="s">
        <v>8</v>
      </c>
      <c r="D26" s="66">
        <v>607</v>
      </c>
      <c r="E26" s="3">
        <v>607</v>
      </c>
      <c r="F26" s="3">
        <v>607</v>
      </c>
      <c r="G26" s="3">
        <v>11</v>
      </c>
      <c r="H26" s="3">
        <v>14</v>
      </c>
      <c r="I26" s="3">
        <v>16</v>
      </c>
      <c r="J26" s="3">
        <v>16</v>
      </c>
      <c r="K26" s="3">
        <v>15</v>
      </c>
      <c r="L26" s="3">
        <v>13</v>
      </c>
      <c r="M26" s="64">
        <v>1</v>
      </c>
      <c r="N26" s="59" t="s">
        <v>459</v>
      </c>
      <c r="O26" s="55" t="s">
        <v>19</v>
      </c>
      <c r="P26" s="28" t="s">
        <v>397</v>
      </c>
      <c r="Q26" s="29" t="s">
        <v>398</v>
      </c>
      <c r="R26" s="1"/>
    </row>
    <row r="27" spans="1:18">
      <c r="A27" s="32" t="s">
        <v>296</v>
      </c>
      <c r="B27" s="33">
        <v>2014</v>
      </c>
      <c r="C27" s="151" t="s">
        <v>24</v>
      </c>
      <c r="D27" s="63">
        <v>1</v>
      </c>
      <c r="E27" s="3">
        <v>1</v>
      </c>
      <c r="F27" s="3">
        <v>1</v>
      </c>
      <c r="G27" s="3">
        <v>1</v>
      </c>
      <c r="H27" s="3">
        <v>4</v>
      </c>
      <c r="I27" s="3">
        <v>3</v>
      </c>
      <c r="J27" s="3">
        <v>1</v>
      </c>
      <c r="K27" s="3">
        <v>1</v>
      </c>
      <c r="L27" s="3">
        <v>1</v>
      </c>
      <c r="M27" s="64">
        <v>1</v>
      </c>
      <c r="N27" s="59" t="s">
        <v>459</v>
      </c>
      <c r="O27" s="55" t="s">
        <v>19</v>
      </c>
      <c r="P27" s="28" t="s">
        <v>399</v>
      </c>
      <c r="Q27" s="29" t="s">
        <v>400</v>
      </c>
      <c r="R27" s="1"/>
    </row>
    <row r="28" spans="1:18">
      <c r="A28" s="32" t="s">
        <v>297</v>
      </c>
      <c r="B28" s="33">
        <v>2014</v>
      </c>
      <c r="C28" s="151" t="s">
        <v>8</v>
      </c>
      <c r="D28" s="66">
        <v>3141</v>
      </c>
      <c r="E28" s="3">
        <v>3141</v>
      </c>
      <c r="F28" s="3">
        <v>3141</v>
      </c>
      <c r="G28" s="3">
        <v>1</v>
      </c>
      <c r="H28" s="3">
        <v>4</v>
      </c>
      <c r="I28" s="3">
        <v>3</v>
      </c>
      <c r="J28" s="3">
        <v>1</v>
      </c>
      <c r="K28" s="3">
        <v>1</v>
      </c>
      <c r="L28" s="3">
        <v>30</v>
      </c>
      <c r="M28" s="64">
        <v>10</v>
      </c>
      <c r="N28" s="59" t="s">
        <v>458</v>
      </c>
      <c r="O28" s="55" t="s">
        <v>19</v>
      </c>
      <c r="P28" s="28" t="s">
        <v>401</v>
      </c>
      <c r="Q28" s="29" t="s">
        <v>402</v>
      </c>
      <c r="R28" s="1"/>
    </row>
    <row r="29" spans="1:18">
      <c r="A29" s="32" t="s">
        <v>298</v>
      </c>
      <c r="B29" s="33">
        <v>2014</v>
      </c>
      <c r="C29" s="151" t="s">
        <v>8</v>
      </c>
      <c r="D29" s="63">
        <v>1</v>
      </c>
      <c r="E29" s="3">
        <v>1</v>
      </c>
      <c r="F29" s="3">
        <v>1</v>
      </c>
      <c r="G29" s="3">
        <v>1</v>
      </c>
      <c r="H29" s="3">
        <v>4</v>
      </c>
      <c r="I29" s="3">
        <v>3</v>
      </c>
      <c r="J29" s="3">
        <v>1</v>
      </c>
      <c r="K29" s="3">
        <v>1</v>
      </c>
      <c r="L29" s="3">
        <v>1</v>
      </c>
      <c r="M29" s="64">
        <v>1</v>
      </c>
      <c r="N29" s="59" t="s">
        <v>459</v>
      </c>
      <c r="O29" s="55" t="s">
        <v>19</v>
      </c>
      <c r="P29" s="28" t="s">
        <v>403</v>
      </c>
      <c r="Q29" s="29" t="s">
        <v>404</v>
      </c>
      <c r="R29" s="1"/>
    </row>
    <row r="30" spans="1:18">
      <c r="A30" s="32" t="s">
        <v>299</v>
      </c>
      <c r="B30" s="33">
        <v>2014</v>
      </c>
      <c r="C30" s="151" t="s">
        <v>320</v>
      </c>
      <c r="D30" s="66">
        <v>1810</v>
      </c>
      <c r="E30" s="3">
        <v>1810</v>
      </c>
      <c r="F30" s="3">
        <v>1810</v>
      </c>
      <c r="G30" s="3">
        <v>4</v>
      </c>
      <c r="H30" s="3">
        <v>7</v>
      </c>
      <c r="I30" s="3">
        <v>11</v>
      </c>
      <c r="J30" s="3">
        <v>3</v>
      </c>
      <c r="K30" s="3">
        <v>30</v>
      </c>
      <c r="L30" s="3">
        <v>12</v>
      </c>
      <c r="M30" s="64">
        <v>9</v>
      </c>
      <c r="N30" s="59" t="s">
        <v>459</v>
      </c>
      <c r="O30" s="55" t="s">
        <v>19</v>
      </c>
      <c r="P30" s="28" t="s">
        <v>405</v>
      </c>
      <c r="Q30" s="29" t="s">
        <v>406</v>
      </c>
      <c r="R30" s="1"/>
    </row>
    <row r="31" spans="1:18">
      <c r="A31" s="32" t="s">
        <v>300</v>
      </c>
      <c r="B31" s="33">
        <v>2015</v>
      </c>
      <c r="C31" s="151" t="s">
        <v>8</v>
      </c>
      <c r="D31" s="63"/>
      <c r="E31" s="3">
        <v>1</v>
      </c>
      <c r="F31" s="3">
        <v>1</v>
      </c>
      <c r="G31" s="3">
        <v>1</v>
      </c>
      <c r="H31" s="3">
        <v>4</v>
      </c>
      <c r="I31" s="3">
        <v>3</v>
      </c>
      <c r="J31" s="3">
        <v>1</v>
      </c>
      <c r="K31" s="3">
        <v>1</v>
      </c>
      <c r="L31" s="3">
        <v>1</v>
      </c>
      <c r="M31" s="64">
        <v>1</v>
      </c>
      <c r="N31" s="59" t="s">
        <v>459</v>
      </c>
      <c r="O31" s="55" t="s">
        <v>19</v>
      </c>
      <c r="P31" s="28" t="s">
        <v>407</v>
      </c>
      <c r="Q31" s="29" t="s">
        <v>408</v>
      </c>
      <c r="R31" s="1"/>
    </row>
    <row r="32" spans="1:18">
      <c r="A32" s="32" t="s">
        <v>301</v>
      </c>
      <c r="B32" s="33">
        <v>2015</v>
      </c>
      <c r="C32" s="151" t="s">
        <v>8</v>
      </c>
      <c r="D32" s="63"/>
      <c r="E32" s="3">
        <v>1</v>
      </c>
      <c r="F32" s="3">
        <v>1</v>
      </c>
      <c r="G32" s="3">
        <v>1</v>
      </c>
      <c r="H32" s="3">
        <v>4</v>
      </c>
      <c r="I32" s="3">
        <v>3</v>
      </c>
      <c r="J32" s="3">
        <v>1</v>
      </c>
      <c r="K32" s="3">
        <v>1</v>
      </c>
      <c r="L32" s="3">
        <v>1</v>
      </c>
      <c r="M32" s="64">
        <v>1</v>
      </c>
      <c r="N32" s="59" t="s">
        <v>459</v>
      </c>
      <c r="O32" s="55" t="s">
        <v>19</v>
      </c>
      <c r="P32" s="28" t="s">
        <v>409</v>
      </c>
      <c r="Q32" s="29" t="s">
        <v>410</v>
      </c>
      <c r="R32" s="1"/>
    </row>
    <row r="33" spans="1:18">
      <c r="A33" s="32" t="s">
        <v>302</v>
      </c>
      <c r="B33" s="33">
        <v>2015</v>
      </c>
      <c r="C33" s="151" t="s">
        <v>24</v>
      </c>
      <c r="D33" s="63">
        <v>1</v>
      </c>
      <c r="E33" s="3">
        <v>1</v>
      </c>
      <c r="F33" s="3">
        <v>1</v>
      </c>
      <c r="G33" s="3">
        <v>1</v>
      </c>
      <c r="H33" s="3">
        <v>4</v>
      </c>
      <c r="I33" s="3">
        <v>3</v>
      </c>
      <c r="J33" s="3">
        <v>1</v>
      </c>
      <c r="K33" s="3">
        <v>1</v>
      </c>
      <c r="L33" s="3">
        <v>1</v>
      </c>
      <c r="M33" s="64">
        <v>1</v>
      </c>
      <c r="N33" s="59" t="s">
        <v>459</v>
      </c>
      <c r="O33" s="55" t="s">
        <v>19</v>
      </c>
      <c r="P33" s="28" t="s">
        <v>411</v>
      </c>
      <c r="Q33" s="29" t="s">
        <v>412</v>
      </c>
      <c r="R33" s="1"/>
    </row>
    <row r="34" spans="1:18">
      <c r="A34" s="32" t="s">
        <v>303</v>
      </c>
      <c r="B34" s="33">
        <v>2015</v>
      </c>
      <c r="C34" s="151" t="s">
        <v>8</v>
      </c>
      <c r="D34" s="63">
        <v>152</v>
      </c>
      <c r="E34" s="3">
        <v>152</v>
      </c>
      <c r="F34" s="3">
        <v>152</v>
      </c>
      <c r="G34" s="3">
        <v>1</v>
      </c>
      <c r="H34" s="3">
        <v>4</v>
      </c>
      <c r="I34" s="3">
        <v>3</v>
      </c>
      <c r="J34" s="3">
        <v>1</v>
      </c>
      <c r="K34" s="3">
        <v>1</v>
      </c>
      <c r="L34" s="3">
        <v>1</v>
      </c>
      <c r="M34" s="64">
        <v>3</v>
      </c>
      <c r="N34" s="59" t="s">
        <v>459</v>
      </c>
      <c r="O34" s="55" t="s">
        <v>19</v>
      </c>
      <c r="P34" s="28" t="s">
        <v>413</v>
      </c>
      <c r="Q34" s="29" t="s">
        <v>414</v>
      </c>
      <c r="R34" s="1"/>
    </row>
    <row r="35" spans="1:18">
      <c r="A35" s="32" t="s">
        <v>304</v>
      </c>
      <c r="B35" s="33">
        <v>2015</v>
      </c>
      <c r="C35" s="151" t="s">
        <v>24</v>
      </c>
      <c r="D35" s="63">
        <v>1</v>
      </c>
      <c r="E35" s="3">
        <v>1</v>
      </c>
      <c r="F35" s="3">
        <v>1</v>
      </c>
      <c r="G35" s="3">
        <v>1</v>
      </c>
      <c r="H35" s="3">
        <v>4</v>
      </c>
      <c r="I35" s="3">
        <v>3</v>
      </c>
      <c r="J35" s="3">
        <v>1</v>
      </c>
      <c r="K35" s="3">
        <v>1</v>
      </c>
      <c r="L35" s="3">
        <v>1</v>
      </c>
      <c r="M35" s="64">
        <v>1</v>
      </c>
      <c r="N35" s="59" t="s">
        <v>459</v>
      </c>
      <c r="O35" s="55" t="s">
        <v>19</v>
      </c>
      <c r="P35" s="28" t="s">
        <v>415</v>
      </c>
      <c r="Q35" s="29" t="s">
        <v>416</v>
      </c>
      <c r="R35" s="1"/>
    </row>
    <row r="36" spans="1:18">
      <c r="A36" s="32" t="s">
        <v>305</v>
      </c>
      <c r="B36" s="33">
        <v>2015</v>
      </c>
      <c r="C36" s="151" t="s">
        <v>24</v>
      </c>
      <c r="D36" s="63">
        <v>196</v>
      </c>
      <c r="E36" s="3">
        <v>196</v>
      </c>
      <c r="F36" s="3">
        <v>196</v>
      </c>
      <c r="G36" s="3">
        <v>3</v>
      </c>
      <c r="H36" s="3">
        <v>10</v>
      </c>
      <c r="I36" s="3">
        <v>1</v>
      </c>
      <c r="J36" s="3">
        <v>28</v>
      </c>
      <c r="K36" s="3">
        <v>14</v>
      </c>
      <c r="L36" s="3">
        <v>9</v>
      </c>
      <c r="M36" s="64">
        <v>11</v>
      </c>
      <c r="N36" s="59" t="s">
        <v>459</v>
      </c>
      <c r="O36" s="55" t="s">
        <v>19</v>
      </c>
      <c r="P36" s="28" t="s">
        <v>417</v>
      </c>
      <c r="Q36" s="29" t="s">
        <v>418</v>
      </c>
      <c r="R36" s="1"/>
    </row>
    <row r="37" spans="1:18">
      <c r="A37" s="32" t="s">
        <v>306</v>
      </c>
      <c r="B37" s="33">
        <v>2015</v>
      </c>
      <c r="C37" s="151" t="s">
        <v>320</v>
      </c>
      <c r="D37" s="63">
        <v>23</v>
      </c>
      <c r="E37" s="3">
        <v>23</v>
      </c>
      <c r="F37" s="3">
        <v>23</v>
      </c>
      <c r="G37" s="3">
        <v>2</v>
      </c>
      <c r="H37" s="3">
        <v>3</v>
      </c>
      <c r="I37" s="3">
        <v>9</v>
      </c>
      <c r="J37" s="3">
        <v>10</v>
      </c>
      <c r="K37" s="3">
        <v>2</v>
      </c>
      <c r="L37" s="3">
        <v>1</v>
      </c>
      <c r="M37" s="64">
        <v>6</v>
      </c>
      <c r="N37" s="59" t="s">
        <v>459</v>
      </c>
      <c r="O37" s="55" t="s">
        <v>19</v>
      </c>
      <c r="P37" s="28" t="s">
        <v>419</v>
      </c>
      <c r="Q37" s="29" t="s">
        <v>420</v>
      </c>
      <c r="R37" s="1"/>
    </row>
    <row r="38" spans="1:18">
      <c r="A38" s="32" t="s">
        <v>307</v>
      </c>
      <c r="B38" s="33">
        <v>2015</v>
      </c>
      <c r="C38" s="151" t="s">
        <v>24</v>
      </c>
      <c r="D38" s="63">
        <v>1</v>
      </c>
      <c r="E38" s="3">
        <v>1</v>
      </c>
      <c r="F38" s="3">
        <v>1</v>
      </c>
      <c r="G38" s="3">
        <v>1</v>
      </c>
      <c r="H38" s="3">
        <v>4</v>
      </c>
      <c r="I38" s="3">
        <v>3</v>
      </c>
      <c r="J38" s="3">
        <v>1</v>
      </c>
      <c r="K38" s="3">
        <v>1</v>
      </c>
      <c r="L38" s="3">
        <v>1</v>
      </c>
      <c r="M38" s="64">
        <v>1</v>
      </c>
      <c r="N38" s="59" t="s">
        <v>459</v>
      </c>
      <c r="O38" s="55" t="s">
        <v>19</v>
      </c>
      <c r="P38" s="28" t="s">
        <v>421</v>
      </c>
      <c r="Q38" s="29" t="s">
        <v>422</v>
      </c>
      <c r="R38" s="1"/>
    </row>
    <row r="39" spans="1:18">
      <c r="A39" s="32" t="s">
        <v>308</v>
      </c>
      <c r="B39" s="33">
        <v>2016</v>
      </c>
      <c r="C39" s="151" t="s">
        <v>24</v>
      </c>
      <c r="D39" s="63">
        <v>1</v>
      </c>
      <c r="E39" s="3">
        <v>1</v>
      </c>
      <c r="F39" s="3">
        <v>1</v>
      </c>
      <c r="G39" s="3">
        <v>1</v>
      </c>
      <c r="H39" s="3">
        <v>4</v>
      </c>
      <c r="I39" s="3">
        <v>3</v>
      </c>
      <c r="J39" s="3">
        <v>1</v>
      </c>
      <c r="K39" s="3">
        <v>1</v>
      </c>
      <c r="L39" s="3">
        <v>1</v>
      </c>
      <c r="M39" s="64">
        <v>1</v>
      </c>
      <c r="N39" s="59" t="s">
        <v>459</v>
      </c>
      <c r="O39" s="55" t="s">
        <v>19</v>
      </c>
      <c r="P39" s="28" t="s">
        <v>423</v>
      </c>
      <c r="Q39" s="29" t="s">
        <v>424</v>
      </c>
      <c r="R39" s="1"/>
    </row>
    <row r="40" spans="1:18">
      <c r="A40" s="32" t="s">
        <v>309</v>
      </c>
      <c r="B40" s="33">
        <v>2016</v>
      </c>
      <c r="C40" s="151" t="s">
        <v>320</v>
      </c>
      <c r="D40" s="63">
        <v>2179</v>
      </c>
      <c r="E40" s="3">
        <v>2179</v>
      </c>
      <c r="F40" s="3">
        <v>2179</v>
      </c>
      <c r="G40" s="3">
        <v>2</v>
      </c>
      <c r="H40" s="3">
        <v>10</v>
      </c>
      <c r="I40" s="3">
        <v>15</v>
      </c>
      <c r="J40" s="3">
        <v>28</v>
      </c>
      <c r="K40" s="3">
        <v>17</v>
      </c>
      <c r="L40" s="3">
        <v>14</v>
      </c>
      <c r="M40" s="64">
        <v>207</v>
      </c>
      <c r="N40" s="59" t="s">
        <v>459</v>
      </c>
      <c r="O40" s="55" t="s">
        <v>19</v>
      </c>
      <c r="P40" s="28" t="s">
        <v>425</v>
      </c>
      <c r="Q40" s="29" t="s">
        <v>426</v>
      </c>
      <c r="R40" s="1"/>
    </row>
    <row r="41" spans="1:18">
      <c r="A41" s="32" t="s">
        <v>310</v>
      </c>
      <c r="B41" s="33">
        <v>2016</v>
      </c>
      <c r="C41" s="151" t="s">
        <v>24</v>
      </c>
      <c r="D41" s="63"/>
      <c r="E41" s="3">
        <v>2300</v>
      </c>
      <c r="F41" s="3">
        <v>2300</v>
      </c>
      <c r="G41" s="3">
        <v>7</v>
      </c>
      <c r="H41" s="3">
        <v>6</v>
      </c>
      <c r="I41" s="3">
        <v>17</v>
      </c>
      <c r="J41" s="3">
        <v>28</v>
      </c>
      <c r="K41" s="3">
        <v>2</v>
      </c>
      <c r="L41" s="3">
        <v>11</v>
      </c>
      <c r="M41" s="64">
        <v>9</v>
      </c>
      <c r="N41" s="59" t="s">
        <v>459</v>
      </c>
      <c r="O41" s="55" t="s">
        <v>19</v>
      </c>
      <c r="P41" s="28" t="s">
        <v>427</v>
      </c>
      <c r="Q41" s="29" t="s">
        <v>428</v>
      </c>
      <c r="R41" s="1"/>
    </row>
    <row r="42" spans="1:18">
      <c r="A42" s="32" t="s">
        <v>311</v>
      </c>
      <c r="B42" s="33">
        <v>2016</v>
      </c>
      <c r="C42" s="151" t="s">
        <v>24</v>
      </c>
      <c r="D42" s="63">
        <v>659</v>
      </c>
      <c r="E42" s="3">
        <v>659</v>
      </c>
      <c r="F42" s="3">
        <v>659</v>
      </c>
      <c r="G42" s="3">
        <v>2</v>
      </c>
      <c r="H42" s="3">
        <v>19</v>
      </c>
      <c r="I42" s="3">
        <v>5</v>
      </c>
      <c r="J42" s="3">
        <v>5</v>
      </c>
      <c r="K42" s="3">
        <v>18</v>
      </c>
      <c r="L42" s="3">
        <v>5</v>
      </c>
      <c r="M42" s="64">
        <v>6</v>
      </c>
      <c r="N42" s="59" t="s">
        <v>459</v>
      </c>
      <c r="O42" s="55" t="s">
        <v>19</v>
      </c>
      <c r="P42" s="28" t="s">
        <v>429</v>
      </c>
      <c r="Q42" s="29" t="s">
        <v>430</v>
      </c>
      <c r="R42" s="1"/>
    </row>
    <row r="43" spans="1:18">
      <c r="A43" s="32" t="s">
        <v>312</v>
      </c>
      <c r="B43" s="33">
        <v>2017</v>
      </c>
      <c r="C43" s="151" t="s">
        <v>24</v>
      </c>
      <c r="D43" s="63">
        <v>345</v>
      </c>
      <c r="E43" s="3">
        <v>345</v>
      </c>
      <c r="F43" s="3">
        <v>345</v>
      </c>
      <c r="G43" s="3">
        <v>6</v>
      </c>
      <c r="H43" s="3">
        <v>10</v>
      </c>
      <c r="I43" s="3">
        <v>19</v>
      </c>
      <c r="J43" s="3">
        <v>3</v>
      </c>
      <c r="K43" s="3">
        <v>19</v>
      </c>
      <c r="L43" s="3">
        <v>4</v>
      </c>
      <c r="M43" s="64">
        <v>11</v>
      </c>
      <c r="N43" s="59" t="s">
        <v>459</v>
      </c>
      <c r="O43" s="55" t="s">
        <v>19</v>
      </c>
      <c r="P43" s="28" t="s">
        <v>431</v>
      </c>
      <c r="Q43" s="29" t="s">
        <v>432</v>
      </c>
      <c r="R43" s="1"/>
    </row>
    <row r="44" spans="1:18">
      <c r="A44" s="32" t="s">
        <v>313</v>
      </c>
      <c r="B44" s="33">
        <v>2017</v>
      </c>
      <c r="C44" s="151" t="s">
        <v>320</v>
      </c>
      <c r="D44" s="63">
        <v>1</v>
      </c>
      <c r="E44" s="3">
        <v>1</v>
      </c>
      <c r="F44" s="3">
        <v>1</v>
      </c>
      <c r="G44" s="3">
        <v>1</v>
      </c>
      <c r="H44" s="3">
        <v>4</v>
      </c>
      <c r="I44" s="3">
        <v>3</v>
      </c>
      <c r="J44" s="3">
        <v>1</v>
      </c>
      <c r="K44" s="3">
        <v>1</v>
      </c>
      <c r="L44" s="3">
        <v>1</v>
      </c>
      <c r="M44" s="64">
        <v>1</v>
      </c>
      <c r="N44" s="59" t="s">
        <v>459</v>
      </c>
      <c r="O44" s="55" t="s">
        <v>19</v>
      </c>
      <c r="P44" s="28" t="s">
        <v>433</v>
      </c>
      <c r="Q44" s="29" t="s">
        <v>434</v>
      </c>
      <c r="R44" s="1"/>
    </row>
    <row r="45" spans="1:18">
      <c r="A45" s="32" t="s">
        <v>314</v>
      </c>
      <c r="B45" s="33">
        <v>2018</v>
      </c>
      <c r="C45" s="151" t="s">
        <v>24</v>
      </c>
      <c r="D45" s="63"/>
      <c r="E45" s="3">
        <v>404</v>
      </c>
      <c r="F45" s="3">
        <v>404</v>
      </c>
      <c r="G45" s="3">
        <v>22</v>
      </c>
      <c r="H45" s="3">
        <v>4</v>
      </c>
      <c r="I45" s="3">
        <v>3</v>
      </c>
      <c r="J45" s="3">
        <v>36</v>
      </c>
      <c r="K45" s="3">
        <v>1</v>
      </c>
      <c r="L45" s="3">
        <v>30</v>
      </c>
      <c r="M45" s="64">
        <v>1</v>
      </c>
      <c r="N45" s="59" t="s">
        <v>459</v>
      </c>
      <c r="O45" s="55" t="s">
        <v>19</v>
      </c>
      <c r="P45" s="28" t="s">
        <v>435</v>
      </c>
      <c r="Q45" s="29" t="s">
        <v>436</v>
      </c>
      <c r="R45" s="1"/>
    </row>
    <row r="46" spans="1:18">
      <c r="A46" s="32" t="s">
        <v>315</v>
      </c>
      <c r="B46" s="33">
        <v>2018</v>
      </c>
      <c r="C46" s="151" t="s">
        <v>24</v>
      </c>
      <c r="D46" s="63"/>
      <c r="E46" s="3">
        <v>39</v>
      </c>
      <c r="F46" s="3">
        <v>39</v>
      </c>
      <c r="G46" s="3">
        <v>3</v>
      </c>
      <c r="H46" s="3">
        <v>5</v>
      </c>
      <c r="I46" s="3">
        <v>1</v>
      </c>
      <c r="J46" s="3">
        <v>7</v>
      </c>
      <c r="K46" s="3">
        <v>14</v>
      </c>
      <c r="L46" s="3">
        <v>9</v>
      </c>
      <c r="M46" s="64">
        <v>8</v>
      </c>
      <c r="N46" s="59" t="s">
        <v>459</v>
      </c>
      <c r="O46" s="55" t="s">
        <v>19</v>
      </c>
      <c r="P46" s="28" t="s">
        <v>437</v>
      </c>
      <c r="Q46" s="29" t="s">
        <v>438</v>
      </c>
      <c r="R46" s="1"/>
    </row>
    <row r="47" spans="1:18">
      <c r="A47" s="32" t="s">
        <v>316</v>
      </c>
      <c r="B47" s="33">
        <v>2022</v>
      </c>
      <c r="C47" s="151" t="s">
        <v>8</v>
      </c>
      <c r="D47" s="63"/>
      <c r="E47" s="3">
        <v>392</v>
      </c>
      <c r="F47" s="3">
        <v>392</v>
      </c>
      <c r="G47" s="3">
        <v>3</v>
      </c>
      <c r="H47" s="3">
        <v>13</v>
      </c>
      <c r="I47" s="3">
        <v>1</v>
      </c>
      <c r="J47" s="3">
        <v>6</v>
      </c>
      <c r="K47" s="3">
        <v>14</v>
      </c>
      <c r="L47" s="3">
        <v>9</v>
      </c>
      <c r="M47" s="64">
        <v>11</v>
      </c>
      <c r="N47" s="58" t="s">
        <v>458</v>
      </c>
      <c r="O47" s="55" t="s">
        <v>19</v>
      </c>
      <c r="P47" s="28" t="s">
        <v>439</v>
      </c>
      <c r="Q47" s="29" t="s">
        <v>440</v>
      </c>
      <c r="R47" s="1"/>
    </row>
    <row r="48" spans="1:18">
      <c r="A48" s="32" t="s">
        <v>317</v>
      </c>
      <c r="B48" s="33">
        <v>2022</v>
      </c>
      <c r="C48" s="151" t="s">
        <v>24</v>
      </c>
      <c r="D48" s="63"/>
      <c r="E48" s="3">
        <v>222</v>
      </c>
      <c r="F48" s="3">
        <v>222</v>
      </c>
      <c r="G48" s="3">
        <v>2</v>
      </c>
      <c r="H48" s="3">
        <v>19</v>
      </c>
      <c r="I48" s="3">
        <v>5</v>
      </c>
      <c r="J48" s="3">
        <v>10</v>
      </c>
      <c r="K48" s="3">
        <v>18</v>
      </c>
      <c r="L48" s="3">
        <v>1</v>
      </c>
      <c r="M48" s="64">
        <v>10</v>
      </c>
      <c r="N48" s="58" t="s">
        <v>458</v>
      </c>
      <c r="O48" s="55" t="s">
        <v>19</v>
      </c>
      <c r="P48" s="28" t="s">
        <v>441</v>
      </c>
      <c r="Q48" s="29" t="s">
        <v>442</v>
      </c>
      <c r="R48" s="1"/>
    </row>
    <row r="49" spans="1:18">
      <c r="A49" s="32" t="s">
        <v>318</v>
      </c>
      <c r="B49" s="33">
        <v>2022</v>
      </c>
      <c r="C49" s="151" t="s">
        <v>24</v>
      </c>
      <c r="D49" s="63">
        <v>1</v>
      </c>
      <c r="E49" s="3">
        <v>1</v>
      </c>
      <c r="F49" s="3">
        <v>1</v>
      </c>
      <c r="G49" s="3">
        <v>1</v>
      </c>
      <c r="H49" s="3">
        <v>4</v>
      </c>
      <c r="I49" s="3">
        <v>3</v>
      </c>
      <c r="J49" s="3">
        <v>1</v>
      </c>
      <c r="K49" s="3">
        <v>1</v>
      </c>
      <c r="L49" s="3">
        <v>1</v>
      </c>
      <c r="M49" s="64">
        <v>1</v>
      </c>
      <c r="N49" s="59" t="s">
        <v>459</v>
      </c>
      <c r="O49" s="55" t="s">
        <v>19</v>
      </c>
      <c r="P49" s="28" t="s">
        <v>443</v>
      </c>
      <c r="Q49" s="29" t="s">
        <v>444</v>
      </c>
      <c r="R49" s="1"/>
    </row>
    <row r="50" spans="1:18" ht="15.75" thickBot="1">
      <c r="A50" s="34" t="s">
        <v>319</v>
      </c>
      <c r="B50" s="35">
        <v>2022</v>
      </c>
      <c r="C50" s="152" t="s">
        <v>24</v>
      </c>
      <c r="D50" s="67">
        <v>1913</v>
      </c>
      <c r="E50" s="27">
        <v>1913</v>
      </c>
      <c r="F50" s="27">
        <v>1913</v>
      </c>
      <c r="G50" s="27">
        <v>6</v>
      </c>
      <c r="H50" s="27">
        <v>10</v>
      </c>
      <c r="I50" s="27">
        <v>5</v>
      </c>
      <c r="J50" s="27">
        <v>48</v>
      </c>
      <c r="K50" s="27">
        <v>33</v>
      </c>
      <c r="L50" s="27">
        <v>1</v>
      </c>
      <c r="M50" s="68">
        <v>209</v>
      </c>
      <c r="N50" s="60" t="s">
        <v>459</v>
      </c>
      <c r="O50" s="56" t="s">
        <v>19</v>
      </c>
      <c r="P50" s="30" t="s">
        <v>445</v>
      </c>
      <c r="Q50" s="31" t="s">
        <v>446</v>
      </c>
      <c r="R50" s="1"/>
    </row>
  </sheetData>
  <mergeCells count="2">
    <mergeCell ref="F3:M3"/>
    <mergeCell ref="O3:Q3"/>
  </mergeCells>
  <pageMargins left="0.7" right="0.7" top="0.75" bottom="0.75" header="0.51180555555555496" footer="0.51180555555555496"/>
  <pageSetup paperSize="9" firstPageNumber="0" orientation="portrait" horizontalDpi="4294967295" verticalDpi="4294967295" r:id="rId1"/>
  <headerFooter>
    <oddFooter>&amp;L&amp;1#&amp;"Calibri"&amp;10&amp;K000000Følsomhet Intern (gul)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47"/>
  <sheetViews>
    <sheetView zoomScaleNormal="100" zoomScaleSheetLayoutView="75" zoomScalePageLayoutView="75" workbookViewId="0">
      <selection activeCell="D42" sqref="D42"/>
    </sheetView>
  </sheetViews>
  <sheetFormatPr baseColWidth="10" defaultColWidth="11.42578125" defaultRowHeight="15"/>
  <cols>
    <col min="1" max="1" width="25.7109375" style="11" customWidth="1"/>
    <col min="2" max="2" width="10" style="11" bestFit="1" customWidth="1"/>
    <col min="3" max="3" width="6.28515625" style="11" bestFit="1" customWidth="1"/>
    <col min="4" max="4" width="21.42578125" style="11" bestFit="1" customWidth="1"/>
    <col min="5" max="5" width="6.28515625" style="11" bestFit="1" customWidth="1"/>
    <col min="6" max="6" width="21.42578125" style="11" bestFit="1" customWidth="1"/>
    <col min="7" max="7" width="9.140625" style="11" bestFit="1" customWidth="1"/>
    <col min="8" max="8" width="21.42578125" style="11" bestFit="1" customWidth="1"/>
    <col min="9" max="9" width="9.42578125" style="11" bestFit="1" customWidth="1"/>
    <col min="10" max="10" width="21.7109375" style="11" bestFit="1" customWidth="1"/>
    <col min="11" max="11" width="9.42578125" style="11" bestFit="1" customWidth="1"/>
    <col min="12" max="12" width="21.42578125" style="11" bestFit="1" customWidth="1"/>
    <col min="13" max="13" width="9.42578125" style="11" bestFit="1" customWidth="1"/>
    <col min="14" max="14" width="21.42578125" style="11" bestFit="1" customWidth="1"/>
    <col min="15" max="15" width="6.28515625" style="11" bestFit="1" customWidth="1"/>
    <col min="16" max="16" width="21.42578125" style="11" bestFit="1" customWidth="1"/>
    <col min="17" max="17" width="9.42578125" style="11" bestFit="1" customWidth="1"/>
    <col min="18" max="18" width="21.42578125" style="11" bestFit="1" customWidth="1"/>
    <col min="19" max="19" width="6.28515625" style="11" bestFit="1" customWidth="1"/>
    <col min="20" max="20" width="21.42578125" style="11" bestFit="1" customWidth="1"/>
    <col min="21" max="16384" width="11.42578125" style="11"/>
  </cols>
  <sheetData>
    <row r="1" spans="1:20" ht="16.5" thickBot="1">
      <c r="A1" s="19" t="s">
        <v>464</v>
      </c>
    </row>
    <row r="2" spans="1:20" ht="66.599999999999994" customHeight="1">
      <c r="A2" s="169" t="s">
        <v>224</v>
      </c>
      <c r="B2" s="175" t="s">
        <v>216</v>
      </c>
      <c r="C2" s="252" t="s">
        <v>217</v>
      </c>
      <c r="D2" s="253"/>
      <c r="E2" s="256" t="s">
        <v>218</v>
      </c>
      <c r="F2" s="257"/>
      <c r="G2" s="252" t="s">
        <v>219</v>
      </c>
      <c r="H2" s="253"/>
      <c r="I2" s="256" t="s">
        <v>220</v>
      </c>
      <c r="J2" s="257"/>
      <c r="K2" s="252" t="s">
        <v>488</v>
      </c>
      <c r="L2" s="253"/>
      <c r="M2" s="254" t="s">
        <v>221</v>
      </c>
      <c r="N2" s="255"/>
      <c r="O2" s="252" t="s">
        <v>222</v>
      </c>
      <c r="P2" s="253"/>
      <c r="Q2" s="254" t="s">
        <v>489</v>
      </c>
      <c r="R2" s="255"/>
      <c r="S2" s="252" t="s">
        <v>223</v>
      </c>
      <c r="T2" s="253"/>
    </row>
    <row r="3" spans="1:20" ht="15.75" thickBot="1">
      <c r="A3" s="170" t="s">
        <v>224</v>
      </c>
      <c r="B3" s="176" t="s">
        <v>225</v>
      </c>
      <c r="C3" s="186" t="s">
        <v>225</v>
      </c>
      <c r="D3" s="167" t="s">
        <v>226</v>
      </c>
      <c r="E3" s="168" t="s">
        <v>225</v>
      </c>
      <c r="F3" s="195" t="s">
        <v>226</v>
      </c>
      <c r="G3" s="186" t="s">
        <v>225</v>
      </c>
      <c r="H3" s="167" t="s">
        <v>226</v>
      </c>
      <c r="I3" s="202" t="s">
        <v>225</v>
      </c>
      <c r="J3" s="195" t="s">
        <v>226</v>
      </c>
      <c r="K3" s="215" t="s">
        <v>225</v>
      </c>
      <c r="L3" s="167" t="s">
        <v>226</v>
      </c>
      <c r="M3" s="202" t="s">
        <v>225</v>
      </c>
      <c r="N3" s="195" t="s">
        <v>226</v>
      </c>
      <c r="O3" s="215" t="s">
        <v>225</v>
      </c>
      <c r="P3" s="167" t="s">
        <v>226</v>
      </c>
      <c r="Q3" s="202" t="s">
        <v>225</v>
      </c>
      <c r="R3" s="195" t="s">
        <v>226</v>
      </c>
      <c r="S3" s="215" t="s">
        <v>225</v>
      </c>
      <c r="T3" s="167" t="s">
        <v>226</v>
      </c>
    </row>
    <row r="4" spans="1:20">
      <c r="A4" s="171" t="s">
        <v>7</v>
      </c>
      <c r="B4" s="177">
        <v>1</v>
      </c>
      <c r="C4" s="187" t="s">
        <v>228</v>
      </c>
      <c r="D4" s="188" t="s">
        <v>229</v>
      </c>
      <c r="E4" s="182" t="s">
        <v>228</v>
      </c>
      <c r="F4" s="196" t="s">
        <v>229</v>
      </c>
      <c r="G4" s="205">
        <v>1</v>
      </c>
      <c r="H4" s="206" t="s">
        <v>230</v>
      </c>
      <c r="I4" s="203">
        <v>1</v>
      </c>
      <c r="J4" s="212" t="s">
        <v>230</v>
      </c>
      <c r="K4" s="205">
        <v>1</v>
      </c>
      <c r="L4" s="216" t="s">
        <v>230</v>
      </c>
      <c r="M4" s="203">
        <v>1</v>
      </c>
      <c r="N4" s="218" t="s">
        <v>230</v>
      </c>
      <c r="O4" s="187" t="s">
        <v>228</v>
      </c>
      <c r="P4" s="166" t="s">
        <v>231</v>
      </c>
      <c r="Q4" s="224">
        <v>1</v>
      </c>
      <c r="R4" s="228" t="s">
        <v>230</v>
      </c>
      <c r="S4" s="231" t="s">
        <v>228</v>
      </c>
      <c r="T4" s="166" t="s">
        <v>231</v>
      </c>
    </row>
    <row r="5" spans="1:20">
      <c r="A5" s="172" t="s">
        <v>23</v>
      </c>
      <c r="B5" s="178">
        <v>15</v>
      </c>
      <c r="C5" s="189" t="s">
        <v>228</v>
      </c>
      <c r="D5" s="15" t="s">
        <v>231</v>
      </c>
      <c r="E5" s="183" t="s">
        <v>228</v>
      </c>
      <c r="F5" s="197" t="s">
        <v>231</v>
      </c>
      <c r="G5" s="190">
        <v>15</v>
      </c>
      <c r="H5" s="207" t="s">
        <v>232</v>
      </c>
      <c r="I5" s="204">
        <v>477</v>
      </c>
      <c r="J5" s="213" t="s">
        <v>233</v>
      </c>
      <c r="K5" s="190">
        <v>15</v>
      </c>
      <c r="L5" s="210" t="s">
        <v>232</v>
      </c>
      <c r="M5" s="204">
        <v>477</v>
      </c>
      <c r="N5" s="219" t="s">
        <v>233</v>
      </c>
      <c r="O5" s="189" t="s">
        <v>228</v>
      </c>
      <c r="P5" s="15" t="s">
        <v>231</v>
      </c>
      <c r="Q5" s="225">
        <v>477</v>
      </c>
      <c r="R5" s="197" t="s">
        <v>233</v>
      </c>
      <c r="S5" s="232" t="s">
        <v>228</v>
      </c>
      <c r="T5" s="15" t="s">
        <v>231</v>
      </c>
    </row>
    <row r="6" spans="1:20">
      <c r="A6" s="172" t="s">
        <v>31</v>
      </c>
      <c r="B6" s="179">
        <v>20</v>
      </c>
      <c r="C6" s="189" t="s">
        <v>228</v>
      </c>
      <c r="D6" s="15" t="s">
        <v>231</v>
      </c>
      <c r="E6" s="183" t="s">
        <v>228</v>
      </c>
      <c r="F6" s="197" t="s">
        <v>231</v>
      </c>
      <c r="G6" s="190">
        <v>20</v>
      </c>
      <c r="H6" s="191" t="s">
        <v>235</v>
      </c>
      <c r="I6" s="183">
        <v>2481</v>
      </c>
      <c r="J6" s="200" t="s">
        <v>236</v>
      </c>
      <c r="K6" s="190">
        <v>20</v>
      </c>
      <c r="L6" s="210" t="s">
        <v>235</v>
      </c>
      <c r="M6" s="184">
        <v>20</v>
      </c>
      <c r="N6" s="220" t="s">
        <v>235</v>
      </c>
      <c r="O6" s="189" t="s">
        <v>228</v>
      </c>
      <c r="P6" s="15" t="s">
        <v>231</v>
      </c>
      <c r="Q6" s="183">
        <v>2481</v>
      </c>
      <c r="R6" s="197" t="s">
        <v>236</v>
      </c>
      <c r="S6" s="232">
        <v>2481</v>
      </c>
      <c r="T6" s="15" t="s">
        <v>336</v>
      </c>
    </row>
    <row r="7" spans="1:20">
      <c r="A7" s="172" t="s">
        <v>39</v>
      </c>
      <c r="B7" s="178">
        <v>62</v>
      </c>
      <c r="C7" s="189" t="s">
        <v>228</v>
      </c>
      <c r="D7" s="15" t="s">
        <v>231</v>
      </c>
      <c r="E7" s="183" t="s">
        <v>228</v>
      </c>
      <c r="F7" s="197" t="s">
        <v>231</v>
      </c>
      <c r="G7" s="190">
        <v>62</v>
      </c>
      <c r="H7" s="191" t="s">
        <v>237</v>
      </c>
      <c r="I7" s="183">
        <v>1983</v>
      </c>
      <c r="J7" s="200" t="s">
        <v>238</v>
      </c>
      <c r="K7" s="190">
        <v>62</v>
      </c>
      <c r="L7" s="191" t="s">
        <v>237</v>
      </c>
      <c r="M7" s="183">
        <v>1983</v>
      </c>
      <c r="N7" s="219" t="s">
        <v>238</v>
      </c>
      <c r="O7" s="189" t="s">
        <v>228</v>
      </c>
      <c r="P7" s="15" t="s">
        <v>231</v>
      </c>
      <c r="Q7" s="183">
        <v>1983</v>
      </c>
      <c r="R7" s="197" t="s">
        <v>238</v>
      </c>
      <c r="S7" s="232" t="s">
        <v>228</v>
      </c>
      <c r="T7" s="15" t="s">
        <v>337</v>
      </c>
    </row>
    <row r="8" spans="1:20">
      <c r="A8" s="172" t="s">
        <v>45</v>
      </c>
      <c r="B8" s="178">
        <v>62</v>
      </c>
      <c r="C8" s="189" t="s">
        <v>228</v>
      </c>
      <c r="D8" s="15" t="s">
        <v>231</v>
      </c>
      <c r="E8" s="183" t="s">
        <v>228</v>
      </c>
      <c r="F8" s="197" t="s">
        <v>231</v>
      </c>
      <c r="G8" s="190">
        <v>62</v>
      </c>
      <c r="H8" s="191" t="s">
        <v>237</v>
      </c>
      <c r="I8" s="184">
        <v>62</v>
      </c>
      <c r="J8" s="199" t="s">
        <v>240</v>
      </c>
      <c r="K8" s="190">
        <v>62</v>
      </c>
      <c r="L8" s="191" t="s">
        <v>237</v>
      </c>
      <c r="M8" s="184">
        <v>62</v>
      </c>
      <c r="N8" s="221" t="s">
        <v>240</v>
      </c>
      <c r="O8" s="189" t="s">
        <v>228</v>
      </c>
      <c r="P8" s="15" t="s">
        <v>231</v>
      </c>
      <c r="Q8" s="226">
        <v>62</v>
      </c>
      <c r="R8" s="197" t="s">
        <v>240</v>
      </c>
      <c r="S8" s="232" t="s">
        <v>228</v>
      </c>
      <c r="T8" s="15" t="s">
        <v>338</v>
      </c>
    </row>
    <row r="9" spans="1:20">
      <c r="A9" s="172" t="s">
        <v>51</v>
      </c>
      <c r="B9" s="180">
        <v>68</v>
      </c>
      <c r="C9" s="190">
        <v>68</v>
      </c>
      <c r="D9" s="191" t="s">
        <v>239</v>
      </c>
      <c r="E9" s="184">
        <v>68</v>
      </c>
      <c r="F9" s="198" t="s">
        <v>322</v>
      </c>
      <c r="G9" s="190">
        <v>68</v>
      </c>
      <c r="H9" s="191" t="s">
        <v>239</v>
      </c>
      <c r="I9" s="184">
        <v>68</v>
      </c>
      <c r="J9" s="199" t="s">
        <v>239</v>
      </c>
      <c r="K9" s="190">
        <v>68</v>
      </c>
      <c r="L9" s="191" t="s">
        <v>239</v>
      </c>
      <c r="M9" s="184">
        <v>68</v>
      </c>
      <c r="N9" s="220" t="s">
        <v>239</v>
      </c>
      <c r="O9" s="190">
        <v>68</v>
      </c>
      <c r="P9" s="191" t="s">
        <v>239</v>
      </c>
      <c r="Q9" s="226">
        <v>68</v>
      </c>
      <c r="R9" s="199" t="s">
        <v>239</v>
      </c>
      <c r="S9" s="233">
        <v>68</v>
      </c>
      <c r="T9" s="15" t="s">
        <v>339</v>
      </c>
    </row>
    <row r="10" spans="1:20">
      <c r="A10" s="172" t="s">
        <v>56</v>
      </c>
      <c r="B10" s="180">
        <v>68</v>
      </c>
      <c r="C10" s="190">
        <v>68</v>
      </c>
      <c r="D10" s="191" t="s">
        <v>239</v>
      </c>
      <c r="E10" s="184">
        <v>68</v>
      </c>
      <c r="F10" s="199" t="s">
        <v>239</v>
      </c>
      <c r="G10" s="190">
        <v>68</v>
      </c>
      <c r="H10" s="191" t="s">
        <v>239</v>
      </c>
      <c r="I10" s="184">
        <v>68</v>
      </c>
      <c r="J10" s="199" t="s">
        <v>239</v>
      </c>
      <c r="K10" s="190">
        <v>68</v>
      </c>
      <c r="L10" s="191" t="s">
        <v>239</v>
      </c>
      <c r="M10" s="184">
        <v>68</v>
      </c>
      <c r="N10" s="220" t="s">
        <v>239</v>
      </c>
      <c r="O10" s="190">
        <v>68</v>
      </c>
      <c r="P10" s="191" t="s">
        <v>239</v>
      </c>
      <c r="Q10" s="226">
        <v>68</v>
      </c>
      <c r="R10" s="199" t="s">
        <v>239</v>
      </c>
      <c r="S10" s="233">
        <v>68</v>
      </c>
      <c r="T10" s="15" t="s">
        <v>339</v>
      </c>
    </row>
    <row r="11" spans="1:20">
      <c r="A11" s="172" t="s">
        <v>62</v>
      </c>
      <c r="B11" s="179">
        <v>146</v>
      </c>
      <c r="C11" s="189" t="s">
        <v>228</v>
      </c>
      <c r="D11" s="15" t="s">
        <v>231</v>
      </c>
      <c r="E11" s="184">
        <v>146</v>
      </c>
      <c r="F11" s="198" t="s">
        <v>321</v>
      </c>
      <c r="G11" s="190">
        <v>146</v>
      </c>
      <c r="H11" s="191" t="s">
        <v>334</v>
      </c>
      <c r="I11" s="183" t="s">
        <v>228</v>
      </c>
      <c r="J11" s="200" t="s">
        <v>333</v>
      </c>
      <c r="K11" s="190">
        <v>146</v>
      </c>
      <c r="L11" s="191" t="s">
        <v>334</v>
      </c>
      <c r="M11" s="183" t="s">
        <v>228</v>
      </c>
      <c r="N11" s="219" t="s">
        <v>347</v>
      </c>
      <c r="O11" s="189" t="s">
        <v>228</v>
      </c>
      <c r="P11" s="15" t="s">
        <v>231</v>
      </c>
      <c r="Q11" s="183" t="s">
        <v>228</v>
      </c>
      <c r="R11" s="197" t="s">
        <v>333</v>
      </c>
      <c r="S11" s="233">
        <v>146</v>
      </c>
      <c r="T11" s="16" t="s">
        <v>321</v>
      </c>
    </row>
    <row r="12" spans="1:20">
      <c r="A12" s="173" t="s">
        <v>68</v>
      </c>
      <c r="B12" s="179">
        <v>154</v>
      </c>
      <c r="C12" s="189" t="s">
        <v>228</v>
      </c>
      <c r="D12" s="15" t="s">
        <v>231</v>
      </c>
      <c r="E12" s="183" t="s">
        <v>228</v>
      </c>
      <c r="F12" s="200" t="s">
        <v>241</v>
      </c>
      <c r="G12" s="189" t="s">
        <v>234</v>
      </c>
      <c r="H12" s="208" t="s">
        <v>242</v>
      </c>
      <c r="I12" s="183" t="s">
        <v>234</v>
      </c>
      <c r="J12" s="200" t="s">
        <v>243</v>
      </c>
      <c r="K12" s="189" t="s">
        <v>234</v>
      </c>
      <c r="L12" s="217" t="s">
        <v>242</v>
      </c>
      <c r="M12" s="183" t="s">
        <v>234</v>
      </c>
      <c r="N12" s="219" t="s">
        <v>242</v>
      </c>
      <c r="O12" s="189" t="s">
        <v>228</v>
      </c>
      <c r="P12" s="15" t="s">
        <v>231</v>
      </c>
      <c r="Q12" s="183" t="s">
        <v>228</v>
      </c>
      <c r="R12" s="229" t="s">
        <v>242</v>
      </c>
      <c r="S12" s="232" t="s">
        <v>228</v>
      </c>
      <c r="T12" s="15" t="s">
        <v>231</v>
      </c>
    </row>
    <row r="13" spans="1:20">
      <c r="A13" s="173" t="s">
        <v>76</v>
      </c>
      <c r="B13" s="178">
        <v>154</v>
      </c>
      <c r="C13" s="189" t="s">
        <v>228</v>
      </c>
      <c r="D13" s="15" t="s">
        <v>231</v>
      </c>
      <c r="E13" s="183" t="s">
        <v>228</v>
      </c>
      <c r="F13" s="197" t="s">
        <v>231</v>
      </c>
      <c r="G13" s="189" t="s">
        <v>234</v>
      </c>
      <c r="H13" s="208" t="s">
        <v>241</v>
      </c>
      <c r="I13" s="183" t="s">
        <v>234</v>
      </c>
      <c r="J13" s="200" t="s">
        <v>241</v>
      </c>
      <c r="K13" s="189" t="s">
        <v>234</v>
      </c>
      <c r="L13" s="217" t="s">
        <v>241</v>
      </c>
      <c r="M13" s="183" t="s">
        <v>234</v>
      </c>
      <c r="N13" s="219" t="s">
        <v>241</v>
      </c>
      <c r="O13" s="189" t="s">
        <v>228</v>
      </c>
      <c r="P13" s="15" t="s">
        <v>231</v>
      </c>
      <c r="Q13" s="183" t="s">
        <v>234</v>
      </c>
      <c r="R13" s="197" t="s">
        <v>241</v>
      </c>
      <c r="S13" s="232" t="s">
        <v>228</v>
      </c>
      <c r="T13" s="15" t="s">
        <v>231</v>
      </c>
    </row>
    <row r="14" spans="1:20">
      <c r="A14" s="173" t="s">
        <v>81</v>
      </c>
      <c r="B14" s="178">
        <v>154</v>
      </c>
      <c r="C14" s="189" t="s">
        <v>228</v>
      </c>
      <c r="D14" s="15" t="s">
        <v>231</v>
      </c>
      <c r="E14" s="183" t="s">
        <v>228</v>
      </c>
      <c r="F14" s="197" t="s">
        <v>231</v>
      </c>
      <c r="G14" s="190">
        <v>154</v>
      </c>
      <c r="H14" s="191" t="s">
        <v>244</v>
      </c>
      <c r="I14" s="184">
        <v>154</v>
      </c>
      <c r="J14" s="200" t="s">
        <v>245</v>
      </c>
      <c r="K14" s="190">
        <v>154</v>
      </c>
      <c r="L14" s="210" t="s">
        <v>244</v>
      </c>
      <c r="M14" s="184">
        <v>154</v>
      </c>
      <c r="N14" s="219" t="s">
        <v>245</v>
      </c>
      <c r="O14" s="189" t="s">
        <v>228</v>
      </c>
      <c r="P14" s="15" t="s">
        <v>231</v>
      </c>
      <c r="Q14" s="226">
        <v>154</v>
      </c>
      <c r="R14" s="197" t="s">
        <v>245</v>
      </c>
      <c r="S14" s="232" t="s">
        <v>228</v>
      </c>
      <c r="T14" s="15" t="s">
        <v>231</v>
      </c>
    </row>
    <row r="15" spans="1:20">
      <c r="A15" s="173" t="s">
        <v>87</v>
      </c>
      <c r="B15" s="178">
        <v>154</v>
      </c>
      <c r="C15" s="189" t="s">
        <v>228</v>
      </c>
      <c r="D15" s="15" t="s">
        <v>231</v>
      </c>
      <c r="E15" s="183" t="s">
        <v>228</v>
      </c>
      <c r="F15" s="197" t="s">
        <v>231</v>
      </c>
      <c r="G15" s="190">
        <v>154</v>
      </c>
      <c r="H15" s="191" t="s">
        <v>244</v>
      </c>
      <c r="I15" s="183" t="s">
        <v>69</v>
      </c>
      <c r="J15" s="200" t="s">
        <v>241</v>
      </c>
      <c r="K15" s="190">
        <v>154</v>
      </c>
      <c r="L15" s="210" t="s">
        <v>244</v>
      </c>
      <c r="M15" s="183" t="s">
        <v>234</v>
      </c>
      <c r="N15" s="219" t="s">
        <v>241</v>
      </c>
      <c r="O15" s="189" t="s">
        <v>228</v>
      </c>
      <c r="P15" s="15" t="s">
        <v>231</v>
      </c>
      <c r="Q15" s="183" t="s">
        <v>69</v>
      </c>
      <c r="R15" s="229" t="s">
        <v>241</v>
      </c>
      <c r="S15" s="232" t="s">
        <v>228</v>
      </c>
      <c r="T15" s="15" t="s">
        <v>231</v>
      </c>
    </row>
    <row r="16" spans="1:20">
      <c r="A16" s="172" t="s">
        <v>92</v>
      </c>
      <c r="B16" s="179">
        <v>222</v>
      </c>
      <c r="C16" s="189" t="s">
        <v>228</v>
      </c>
      <c r="D16" s="15" t="s">
        <v>231</v>
      </c>
      <c r="E16" s="183" t="s">
        <v>228</v>
      </c>
      <c r="F16" s="197" t="s">
        <v>231</v>
      </c>
      <c r="G16" s="190">
        <v>222</v>
      </c>
      <c r="H16" s="208" t="s">
        <v>246</v>
      </c>
      <c r="I16" s="183" t="s">
        <v>228</v>
      </c>
      <c r="J16" s="198" t="s">
        <v>323</v>
      </c>
      <c r="K16" s="190">
        <v>222</v>
      </c>
      <c r="L16" s="191" t="s">
        <v>247</v>
      </c>
      <c r="M16" s="184">
        <v>222</v>
      </c>
      <c r="N16" s="222" t="s">
        <v>348</v>
      </c>
      <c r="O16" s="189" t="s">
        <v>228</v>
      </c>
      <c r="P16" s="15" t="s">
        <v>231</v>
      </c>
      <c r="Q16" s="226">
        <v>222</v>
      </c>
      <c r="R16" s="197" t="s">
        <v>240</v>
      </c>
      <c r="S16" s="232" t="s">
        <v>228</v>
      </c>
      <c r="T16" s="15" t="s">
        <v>231</v>
      </c>
    </row>
    <row r="17" spans="1:20">
      <c r="A17" s="172" t="s">
        <v>98</v>
      </c>
      <c r="B17" s="178">
        <v>292</v>
      </c>
      <c r="C17" s="189" t="s">
        <v>228</v>
      </c>
      <c r="D17" s="15" t="s">
        <v>231</v>
      </c>
      <c r="E17" s="183" t="s">
        <v>228</v>
      </c>
      <c r="F17" s="197" t="s">
        <v>231</v>
      </c>
      <c r="G17" s="190">
        <v>292</v>
      </c>
      <c r="H17" s="191" t="s">
        <v>248</v>
      </c>
      <c r="I17" s="184">
        <v>292</v>
      </c>
      <c r="J17" s="200" t="s">
        <v>249</v>
      </c>
      <c r="K17" s="190">
        <v>292</v>
      </c>
      <c r="L17" s="191" t="s">
        <v>248</v>
      </c>
      <c r="M17" s="184">
        <v>292</v>
      </c>
      <c r="N17" s="219" t="s">
        <v>249</v>
      </c>
      <c r="O17" s="189" t="s">
        <v>228</v>
      </c>
      <c r="P17" s="15" t="s">
        <v>231</v>
      </c>
      <c r="Q17" s="226">
        <v>292</v>
      </c>
      <c r="R17" s="197" t="s">
        <v>249</v>
      </c>
      <c r="S17" s="232" t="s">
        <v>228</v>
      </c>
      <c r="T17" s="15" t="s">
        <v>340</v>
      </c>
    </row>
    <row r="18" spans="1:20">
      <c r="A18" s="172" t="s">
        <v>104</v>
      </c>
      <c r="B18" s="178">
        <v>354</v>
      </c>
      <c r="C18" s="189" t="s">
        <v>228</v>
      </c>
      <c r="D18" s="15" t="s">
        <v>231</v>
      </c>
      <c r="E18" s="183" t="s">
        <v>228</v>
      </c>
      <c r="F18" s="197" t="s">
        <v>231</v>
      </c>
      <c r="G18" s="190">
        <v>354</v>
      </c>
      <c r="H18" s="191" t="s">
        <v>457</v>
      </c>
      <c r="I18" s="184">
        <v>354</v>
      </c>
      <c r="J18" s="200" t="s">
        <v>239</v>
      </c>
      <c r="K18" s="190">
        <v>354</v>
      </c>
      <c r="L18" s="191" t="s">
        <v>457</v>
      </c>
      <c r="M18" s="184">
        <v>354</v>
      </c>
      <c r="N18" s="200" t="s">
        <v>239</v>
      </c>
      <c r="O18" s="189" t="s">
        <v>228</v>
      </c>
      <c r="P18" s="15" t="s">
        <v>231</v>
      </c>
      <c r="Q18" s="226">
        <v>354</v>
      </c>
      <c r="R18" s="200" t="s">
        <v>239</v>
      </c>
      <c r="S18" s="233">
        <v>354</v>
      </c>
      <c r="T18" s="16" t="s">
        <v>322</v>
      </c>
    </row>
    <row r="19" spans="1:20">
      <c r="A19" s="173" t="s">
        <v>110</v>
      </c>
      <c r="B19" s="178">
        <v>574</v>
      </c>
      <c r="C19" s="189" t="s">
        <v>228</v>
      </c>
      <c r="D19" s="15" t="s">
        <v>231</v>
      </c>
      <c r="E19" s="183" t="s">
        <v>228</v>
      </c>
      <c r="F19" s="197" t="s">
        <v>231</v>
      </c>
      <c r="G19" s="189" t="s">
        <v>250</v>
      </c>
      <c r="H19" s="208" t="s">
        <v>241</v>
      </c>
      <c r="I19" s="183" t="s">
        <v>250</v>
      </c>
      <c r="J19" s="200" t="s">
        <v>241</v>
      </c>
      <c r="K19" s="189" t="s">
        <v>250</v>
      </c>
      <c r="L19" s="217" t="s">
        <v>241</v>
      </c>
      <c r="M19" s="183" t="s">
        <v>250</v>
      </c>
      <c r="N19" s="219" t="s">
        <v>241</v>
      </c>
      <c r="O19" s="189" t="s">
        <v>228</v>
      </c>
      <c r="P19" s="15" t="s">
        <v>231</v>
      </c>
      <c r="Q19" s="183" t="s">
        <v>250</v>
      </c>
      <c r="R19" s="197" t="s">
        <v>241</v>
      </c>
      <c r="S19" s="232" t="s">
        <v>228</v>
      </c>
      <c r="T19" s="15" t="s">
        <v>231</v>
      </c>
    </row>
    <row r="20" spans="1:20">
      <c r="A20" s="173" t="s">
        <v>114</v>
      </c>
      <c r="B20" s="179">
        <v>574</v>
      </c>
      <c r="C20" s="189" t="s">
        <v>228</v>
      </c>
      <c r="D20" s="15" t="s">
        <v>231</v>
      </c>
      <c r="E20" s="183" t="s">
        <v>228</v>
      </c>
      <c r="F20" s="200" t="s">
        <v>241</v>
      </c>
      <c r="G20" s="190">
        <v>574</v>
      </c>
      <c r="H20" s="209" t="s">
        <v>251</v>
      </c>
      <c r="I20" s="184">
        <v>574</v>
      </c>
      <c r="J20" s="200" t="s">
        <v>245</v>
      </c>
      <c r="K20" s="190">
        <v>574</v>
      </c>
      <c r="L20" s="208" t="s">
        <v>251</v>
      </c>
      <c r="M20" s="184">
        <v>574</v>
      </c>
      <c r="N20" s="219" t="s">
        <v>251</v>
      </c>
      <c r="O20" s="189" t="s">
        <v>228</v>
      </c>
      <c r="P20" s="15" t="s">
        <v>231</v>
      </c>
      <c r="Q20" s="226">
        <v>574</v>
      </c>
      <c r="R20" s="197" t="s">
        <v>251</v>
      </c>
      <c r="S20" s="232" t="s">
        <v>228</v>
      </c>
      <c r="T20" s="15" t="s">
        <v>231</v>
      </c>
    </row>
    <row r="21" spans="1:20">
      <c r="A21" s="173" t="s">
        <v>118</v>
      </c>
      <c r="B21" s="179">
        <v>574</v>
      </c>
      <c r="C21" s="189" t="s">
        <v>228</v>
      </c>
      <c r="D21" s="15" t="s">
        <v>231</v>
      </c>
      <c r="E21" s="183" t="s">
        <v>228</v>
      </c>
      <c r="F21" s="200" t="s">
        <v>241</v>
      </c>
      <c r="G21" s="190">
        <v>574</v>
      </c>
      <c r="H21" s="210" t="s">
        <v>244</v>
      </c>
      <c r="I21" s="184">
        <v>574</v>
      </c>
      <c r="J21" s="200" t="s">
        <v>245</v>
      </c>
      <c r="K21" s="190">
        <v>574</v>
      </c>
      <c r="L21" s="208" t="s">
        <v>245</v>
      </c>
      <c r="M21" s="184">
        <v>574</v>
      </c>
      <c r="N21" s="219" t="s">
        <v>245</v>
      </c>
      <c r="O21" s="189" t="s">
        <v>228</v>
      </c>
      <c r="P21" s="15" t="s">
        <v>231</v>
      </c>
      <c r="Q21" s="226">
        <v>574</v>
      </c>
      <c r="R21" s="197" t="s">
        <v>245</v>
      </c>
      <c r="S21" s="232" t="s">
        <v>228</v>
      </c>
      <c r="T21" s="15" t="s">
        <v>231</v>
      </c>
    </row>
    <row r="22" spans="1:20">
      <c r="A22" s="173" t="s">
        <v>122</v>
      </c>
      <c r="B22" s="179">
        <v>574</v>
      </c>
      <c r="C22" s="189" t="s">
        <v>228</v>
      </c>
      <c r="D22" s="15" t="s">
        <v>231</v>
      </c>
      <c r="E22" s="183" t="s">
        <v>228</v>
      </c>
      <c r="F22" s="200" t="s">
        <v>241</v>
      </c>
      <c r="G22" s="189" t="s">
        <v>250</v>
      </c>
      <c r="H22" s="208" t="s">
        <v>242</v>
      </c>
      <c r="I22" s="183" t="s">
        <v>69</v>
      </c>
      <c r="J22" s="200" t="s">
        <v>241</v>
      </c>
      <c r="K22" s="190" t="s">
        <v>69</v>
      </c>
      <c r="L22" s="217" t="s">
        <v>242</v>
      </c>
      <c r="M22" s="183" t="s">
        <v>250</v>
      </c>
      <c r="N22" s="219" t="s">
        <v>242</v>
      </c>
      <c r="O22" s="189" t="s">
        <v>228</v>
      </c>
      <c r="P22" s="15" t="s">
        <v>231</v>
      </c>
      <c r="Q22" s="183" t="s">
        <v>228</v>
      </c>
      <c r="R22" s="229" t="s">
        <v>242</v>
      </c>
      <c r="S22" s="232" t="s">
        <v>228</v>
      </c>
      <c r="T22" s="15" t="s">
        <v>231</v>
      </c>
    </row>
    <row r="23" spans="1:20">
      <c r="A23" s="172" t="s">
        <v>126</v>
      </c>
      <c r="B23" s="178">
        <v>576</v>
      </c>
      <c r="C23" s="189" t="s">
        <v>228</v>
      </c>
      <c r="D23" s="15" t="s">
        <v>231</v>
      </c>
      <c r="E23" s="183" t="s">
        <v>228</v>
      </c>
      <c r="F23" s="197" t="s">
        <v>231</v>
      </c>
      <c r="G23" s="190">
        <v>576</v>
      </c>
      <c r="H23" s="191" t="s">
        <v>248</v>
      </c>
      <c r="I23" s="184">
        <v>576</v>
      </c>
      <c r="J23" s="200" t="s">
        <v>249</v>
      </c>
      <c r="K23" s="190">
        <v>576</v>
      </c>
      <c r="L23" s="191" t="s">
        <v>248</v>
      </c>
      <c r="M23" s="184">
        <v>576</v>
      </c>
      <c r="N23" s="200" t="s">
        <v>249</v>
      </c>
      <c r="O23" s="189" t="s">
        <v>228</v>
      </c>
      <c r="P23" s="15" t="s">
        <v>231</v>
      </c>
      <c r="Q23" s="226">
        <v>576</v>
      </c>
      <c r="R23" s="200" t="s">
        <v>249</v>
      </c>
      <c r="S23" s="232" t="s">
        <v>228</v>
      </c>
      <c r="T23" s="15" t="s">
        <v>340</v>
      </c>
    </row>
    <row r="24" spans="1:20">
      <c r="A24" s="172" t="s">
        <v>132</v>
      </c>
      <c r="B24" s="178">
        <v>659</v>
      </c>
      <c r="C24" s="189" t="s">
        <v>228</v>
      </c>
      <c r="D24" s="15" t="s">
        <v>231</v>
      </c>
      <c r="E24" s="183" t="s">
        <v>228</v>
      </c>
      <c r="F24" s="197" t="s">
        <v>231</v>
      </c>
      <c r="G24" s="190">
        <v>659</v>
      </c>
      <c r="H24" s="191" t="s">
        <v>247</v>
      </c>
      <c r="I24" s="184">
        <v>659</v>
      </c>
      <c r="J24" s="200" t="s">
        <v>240</v>
      </c>
      <c r="K24" s="190">
        <v>659</v>
      </c>
      <c r="L24" s="191" t="s">
        <v>247</v>
      </c>
      <c r="M24" s="184">
        <v>659</v>
      </c>
      <c r="N24" s="219" t="s">
        <v>240</v>
      </c>
      <c r="O24" s="189" t="s">
        <v>228</v>
      </c>
      <c r="P24" s="15" t="s">
        <v>231</v>
      </c>
      <c r="Q24" s="226">
        <v>659</v>
      </c>
      <c r="R24" s="197" t="s">
        <v>240</v>
      </c>
      <c r="S24" s="232" t="s">
        <v>228</v>
      </c>
      <c r="T24" s="15" t="s">
        <v>231</v>
      </c>
    </row>
    <row r="25" spans="1:20">
      <c r="A25" s="172" t="s">
        <v>137</v>
      </c>
      <c r="B25" s="179">
        <v>864</v>
      </c>
      <c r="C25" s="189" t="s">
        <v>228</v>
      </c>
      <c r="D25" s="15" t="s">
        <v>231</v>
      </c>
      <c r="E25" s="183" t="s">
        <v>228</v>
      </c>
      <c r="F25" s="197" t="s">
        <v>231</v>
      </c>
      <c r="G25" s="190">
        <v>864</v>
      </c>
      <c r="H25" s="191" t="s">
        <v>326</v>
      </c>
      <c r="I25" s="183" t="s">
        <v>228</v>
      </c>
      <c r="J25" s="200" t="s">
        <v>328</v>
      </c>
      <c r="K25" s="190">
        <v>864</v>
      </c>
      <c r="L25" s="191" t="s">
        <v>326</v>
      </c>
      <c r="M25" s="183" t="s">
        <v>228</v>
      </c>
      <c r="N25" s="219" t="s">
        <v>328</v>
      </c>
      <c r="O25" s="189" t="s">
        <v>228</v>
      </c>
      <c r="P25" s="15" t="s">
        <v>231</v>
      </c>
      <c r="Q25" s="226">
        <v>864</v>
      </c>
      <c r="R25" s="197" t="s">
        <v>252</v>
      </c>
      <c r="S25" s="232" t="s">
        <v>228</v>
      </c>
      <c r="T25" s="15" t="s">
        <v>231</v>
      </c>
    </row>
    <row r="26" spans="1:20">
      <c r="A26" s="172" t="s">
        <v>143</v>
      </c>
      <c r="B26" s="180">
        <v>1324</v>
      </c>
      <c r="C26" s="190">
        <v>1324</v>
      </c>
      <c r="D26" s="191" t="s">
        <v>253</v>
      </c>
      <c r="E26" s="184">
        <v>1324</v>
      </c>
      <c r="F26" s="198" t="s">
        <v>254</v>
      </c>
      <c r="G26" s="190">
        <v>1324</v>
      </c>
      <c r="H26" s="191" t="s">
        <v>253</v>
      </c>
      <c r="I26" s="184">
        <v>1324</v>
      </c>
      <c r="J26" s="199" t="s">
        <v>253</v>
      </c>
      <c r="K26" s="190">
        <v>1324</v>
      </c>
      <c r="L26" s="210" t="s">
        <v>253</v>
      </c>
      <c r="M26" s="184">
        <v>1324</v>
      </c>
      <c r="N26" s="220" t="s">
        <v>253</v>
      </c>
      <c r="O26" s="190">
        <v>1324</v>
      </c>
      <c r="P26" s="210" t="s">
        <v>253</v>
      </c>
      <c r="Q26" s="226">
        <v>1324</v>
      </c>
      <c r="R26" s="199" t="s">
        <v>253</v>
      </c>
      <c r="S26" s="233">
        <v>1324</v>
      </c>
      <c r="T26" s="16" t="s">
        <v>254</v>
      </c>
    </row>
    <row r="27" spans="1:20">
      <c r="A27" s="172" t="s">
        <v>149</v>
      </c>
      <c r="B27" s="178">
        <v>1328</v>
      </c>
      <c r="C27" s="189" t="s">
        <v>228</v>
      </c>
      <c r="D27" s="15" t="s">
        <v>231</v>
      </c>
      <c r="E27" s="183" t="s">
        <v>228</v>
      </c>
      <c r="F27" s="197" t="s">
        <v>231</v>
      </c>
      <c r="G27" s="190">
        <v>1328</v>
      </c>
      <c r="H27" s="191" t="s">
        <v>327</v>
      </c>
      <c r="I27" s="184">
        <v>1328</v>
      </c>
      <c r="J27" s="200" t="s">
        <v>255</v>
      </c>
      <c r="K27" s="190">
        <v>1328</v>
      </c>
      <c r="L27" s="191" t="s">
        <v>327</v>
      </c>
      <c r="M27" s="184">
        <v>1328</v>
      </c>
      <c r="N27" s="200" t="s">
        <v>255</v>
      </c>
      <c r="O27" s="189" t="s">
        <v>228</v>
      </c>
      <c r="P27" s="15" t="s">
        <v>231</v>
      </c>
      <c r="Q27" s="226">
        <v>1328</v>
      </c>
      <c r="R27" s="200" t="s">
        <v>255</v>
      </c>
      <c r="S27" s="232" t="s">
        <v>228</v>
      </c>
      <c r="T27" s="15" t="s">
        <v>231</v>
      </c>
    </row>
    <row r="28" spans="1:20">
      <c r="A28" s="172" t="s">
        <v>156</v>
      </c>
      <c r="B28" s="178">
        <v>1973</v>
      </c>
      <c r="C28" s="189" t="s">
        <v>228</v>
      </c>
      <c r="D28" s="15" t="s">
        <v>231</v>
      </c>
      <c r="E28" s="183" t="s">
        <v>228</v>
      </c>
      <c r="F28" s="197" t="s">
        <v>231</v>
      </c>
      <c r="G28" s="190">
        <v>1973</v>
      </c>
      <c r="H28" s="208" t="s">
        <v>245</v>
      </c>
      <c r="I28" s="184">
        <v>1973</v>
      </c>
      <c r="J28" s="200" t="s">
        <v>245</v>
      </c>
      <c r="K28" s="189" t="s">
        <v>228</v>
      </c>
      <c r="L28" s="208" t="s">
        <v>349</v>
      </c>
      <c r="M28" s="184">
        <v>1973</v>
      </c>
      <c r="N28" s="200" t="s">
        <v>245</v>
      </c>
      <c r="O28" s="189" t="s">
        <v>228</v>
      </c>
      <c r="P28" s="15" t="s">
        <v>231</v>
      </c>
      <c r="Q28" s="183" t="s">
        <v>228</v>
      </c>
      <c r="R28" s="197" t="s">
        <v>245</v>
      </c>
      <c r="S28" s="232" t="s">
        <v>228</v>
      </c>
      <c r="T28" s="15" t="s">
        <v>341</v>
      </c>
    </row>
    <row r="29" spans="1:20">
      <c r="A29" s="172" t="s">
        <v>162</v>
      </c>
      <c r="B29" s="180">
        <v>2110</v>
      </c>
      <c r="C29" s="190">
        <v>2110</v>
      </c>
      <c r="D29" s="191" t="s">
        <v>256</v>
      </c>
      <c r="E29" s="184">
        <v>2110</v>
      </c>
      <c r="F29" s="199" t="s">
        <v>256</v>
      </c>
      <c r="G29" s="190">
        <v>2110</v>
      </c>
      <c r="H29" s="191" t="s">
        <v>256</v>
      </c>
      <c r="I29" s="184">
        <v>2110</v>
      </c>
      <c r="J29" s="199" t="s">
        <v>256</v>
      </c>
      <c r="K29" s="190">
        <v>2110</v>
      </c>
      <c r="L29" s="191" t="s">
        <v>256</v>
      </c>
      <c r="M29" s="184">
        <v>2110</v>
      </c>
      <c r="N29" s="220" t="s">
        <v>256</v>
      </c>
      <c r="O29" s="190">
        <v>2110</v>
      </c>
      <c r="P29" s="191" t="s">
        <v>256</v>
      </c>
      <c r="Q29" s="226">
        <v>2110</v>
      </c>
      <c r="R29" s="199" t="s">
        <v>256</v>
      </c>
      <c r="S29" s="233">
        <v>2110</v>
      </c>
      <c r="T29" s="15" t="s">
        <v>342</v>
      </c>
    </row>
    <row r="30" spans="1:20">
      <c r="A30" s="172" t="s">
        <v>167</v>
      </c>
      <c r="B30" s="178">
        <v>2118</v>
      </c>
      <c r="C30" s="190">
        <v>2118</v>
      </c>
      <c r="D30" s="192" t="s">
        <v>257</v>
      </c>
      <c r="E30" s="184">
        <v>2118</v>
      </c>
      <c r="F30" s="199" t="s">
        <v>456</v>
      </c>
      <c r="G30" s="190">
        <v>2118</v>
      </c>
      <c r="H30" s="191" t="s">
        <v>456</v>
      </c>
      <c r="I30" s="184">
        <v>2118</v>
      </c>
      <c r="J30" s="199" t="s">
        <v>456</v>
      </c>
      <c r="K30" s="190">
        <v>2118</v>
      </c>
      <c r="L30" s="191" t="s">
        <v>456</v>
      </c>
      <c r="M30" s="184">
        <v>2118</v>
      </c>
      <c r="N30" s="220" t="s">
        <v>456</v>
      </c>
      <c r="O30" s="190">
        <v>2118</v>
      </c>
      <c r="P30" s="191" t="s">
        <v>456</v>
      </c>
      <c r="Q30" s="226">
        <v>2118</v>
      </c>
      <c r="R30" s="230" t="s">
        <v>330</v>
      </c>
      <c r="S30" s="233">
        <v>2118</v>
      </c>
      <c r="T30" s="17" t="s">
        <v>257</v>
      </c>
    </row>
    <row r="31" spans="1:20">
      <c r="A31" s="172" t="s">
        <v>172</v>
      </c>
      <c r="B31" s="180">
        <v>2454</v>
      </c>
      <c r="C31" s="190">
        <v>2454</v>
      </c>
      <c r="D31" s="191" t="s">
        <v>258</v>
      </c>
      <c r="E31" s="184">
        <v>2454</v>
      </c>
      <c r="F31" s="198" t="s">
        <v>259</v>
      </c>
      <c r="G31" s="190">
        <v>2454</v>
      </c>
      <c r="H31" s="191" t="s">
        <v>258</v>
      </c>
      <c r="I31" s="184">
        <v>2454</v>
      </c>
      <c r="J31" s="199" t="s">
        <v>258</v>
      </c>
      <c r="K31" s="190">
        <v>2454</v>
      </c>
      <c r="L31" s="210" t="s">
        <v>258</v>
      </c>
      <c r="M31" s="184">
        <v>2454</v>
      </c>
      <c r="N31" s="220" t="s">
        <v>258</v>
      </c>
      <c r="O31" s="190">
        <v>2454</v>
      </c>
      <c r="P31" s="210" t="s">
        <v>258</v>
      </c>
      <c r="Q31" s="226">
        <v>2454</v>
      </c>
      <c r="R31" s="199" t="s">
        <v>258</v>
      </c>
      <c r="S31" s="233">
        <v>2454</v>
      </c>
      <c r="T31" s="15" t="s">
        <v>343</v>
      </c>
    </row>
    <row r="32" spans="1:20">
      <c r="A32" s="172" t="s">
        <v>178</v>
      </c>
      <c r="B32" s="180">
        <v>2630</v>
      </c>
      <c r="C32" s="190">
        <v>2630</v>
      </c>
      <c r="D32" s="191" t="s">
        <v>260</v>
      </c>
      <c r="E32" s="184">
        <v>2630</v>
      </c>
      <c r="F32" s="200" t="s">
        <v>260</v>
      </c>
      <c r="G32" s="190">
        <v>2630</v>
      </c>
      <c r="H32" s="211" t="s">
        <v>260</v>
      </c>
      <c r="I32" s="184">
        <v>2630</v>
      </c>
      <c r="J32" s="214" t="s">
        <v>260</v>
      </c>
      <c r="K32" s="190">
        <v>2630</v>
      </c>
      <c r="L32" s="210" t="s">
        <v>260</v>
      </c>
      <c r="M32" s="184">
        <v>2630</v>
      </c>
      <c r="N32" s="220" t="s">
        <v>260</v>
      </c>
      <c r="O32" s="190">
        <v>2630</v>
      </c>
      <c r="P32" s="210" t="s">
        <v>260</v>
      </c>
      <c r="Q32" s="226">
        <v>2630</v>
      </c>
      <c r="R32" s="199" t="s">
        <v>260</v>
      </c>
      <c r="S32" s="233">
        <v>2630</v>
      </c>
      <c r="T32" s="16" t="s">
        <v>344</v>
      </c>
    </row>
    <row r="33" spans="1:20">
      <c r="A33" s="172" t="s">
        <v>183</v>
      </c>
      <c r="B33" s="178">
        <v>2923</v>
      </c>
      <c r="C33" s="189" t="s">
        <v>228</v>
      </c>
      <c r="D33" s="15" t="s">
        <v>231</v>
      </c>
      <c r="E33" s="184">
        <v>2923</v>
      </c>
      <c r="F33" s="199" t="s">
        <v>329</v>
      </c>
      <c r="G33" s="190">
        <v>2923</v>
      </c>
      <c r="H33" s="191" t="s">
        <v>329</v>
      </c>
      <c r="I33" s="183" t="s">
        <v>228</v>
      </c>
      <c r="J33" s="200" t="s">
        <v>331</v>
      </c>
      <c r="K33" s="190">
        <v>2923</v>
      </c>
      <c r="L33" s="191" t="s">
        <v>329</v>
      </c>
      <c r="M33" s="183" t="s">
        <v>228</v>
      </c>
      <c r="N33" s="219" t="s">
        <v>331</v>
      </c>
      <c r="O33" s="189" t="s">
        <v>228</v>
      </c>
      <c r="P33" s="15" t="s">
        <v>231</v>
      </c>
      <c r="Q33" s="183" t="s">
        <v>228</v>
      </c>
      <c r="R33" s="197" t="s">
        <v>331</v>
      </c>
      <c r="S33" s="233">
        <v>2923</v>
      </c>
      <c r="T33" s="15" t="s">
        <v>329</v>
      </c>
    </row>
    <row r="34" spans="1:20">
      <c r="A34" s="172" t="s">
        <v>189</v>
      </c>
      <c r="B34" s="178">
        <v>2923</v>
      </c>
      <c r="C34" s="189" t="s">
        <v>228</v>
      </c>
      <c r="D34" s="15" t="s">
        <v>231</v>
      </c>
      <c r="E34" s="184">
        <v>2923</v>
      </c>
      <c r="F34" s="199" t="s">
        <v>329</v>
      </c>
      <c r="G34" s="190">
        <v>2923</v>
      </c>
      <c r="H34" s="191" t="s">
        <v>329</v>
      </c>
      <c r="I34" s="183" t="s">
        <v>228</v>
      </c>
      <c r="J34" s="200" t="s">
        <v>331</v>
      </c>
      <c r="K34" s="190">
        <v>2923</v>
      </c>
      <c r="L34" s="191" t="s">
        <v>329</v>
      </c>
      <c r="M34" s="183" t="s">
        <v>228</v>
      </c>
      <c r="N34" s="219" t="s">
        <v>331</v>
      </c>
      <c r="O34" s="189" t="s">
        <v>228</v>
      </c>
      <c r="P34" s="15" t="s">
        <v>231</v>
      </c>
      <c r="Q34" s="183" t="s">
        <v>228</v>
      </c>
      <c r="R34" s="197" t="s">
        <v>331</v>
      </c>
      <c r="S34" s="233">
        <v>2923</v>
      </c>
      <c r="T34" s="15" t="s">
        <v>329</v>
      </c>
    </row>
    <row r="35" spans="1:20">
      <c r="A35" s="172" t="s">
        <v>194</v>
      </c>
      <c r="B35" s="178">
        <v>3138</v>
      </c>
      <c r="C35" s="189" t="s">
        <v>228</v>
      </c>
      <c r="D35" s="15" t="s">
        <v>231</v>
      </c>
      <c r="E35" s="184">
        <v>3138</v>
      </c>
      <c r="F35" s="200" t="s">
        <v>261</v>
      </c>
      <c r="G35" s="190">
        <v>3138</v>
      </c>
      <c r="H35" s="191" t="s">
        <v>262</v>
      </c>
      <c r="I35" s="184">
        <v>3138</v>
      </c>
      <c r="J35" s="200" t="s">
        <v>263</v>
      </c>
      <c r="K35" s="190">
        <v>3138</v>
      </c>
      <c r="L35" s="191" t="s">
        <v>262</v>
      </c>
      <c r="M35" s="184">
        <v>3138</v>
      </c>
      <c r="N35" s="219" t="s">
        <v>263</v>
      </c>
      <c r="O35" s="189" t="s">
        <v>228</v>
      </c>
      <c r="P35" s="15" t="s">
        <v>231</v>
      </c>
      <c r="Q35" s="226">
        <v>3138</v>
      </c>
      <c r="R35" s="219" t="s">
        <v>263</v>
      </c>
      <c r="S35" s="232" t="s">
        <v>228</v>
      </c>
      <c r="T35" s="15" t="s">
        <v>231</v>
      </c>
    </row>
    <row r="36" spans="1:20">
      <c r="A36" s="172" t="s">
        <v>199</v>
      </c>
      <c r="B36" s="178">
        <v>3140</v>
      </c>
      <c r="C36" s="189" t="s">
        <v>228</v>
      </c>
      <c r="D36" s="15" t="s">
        <v>231</v>
      </c>
      <c r="E36" s="183" t="s">
        <v>228</v>
      </c>
      <c r="F36" s="197" t="s">
        <v>231</v>
      </c>
      <c r="G36" s="190">
        <v>3140</v>
      </c>
      <c r="H36" s="191" t="s">
        <v>335</v>
      </c>
      <c r="I36" s="184">
        <v>3140</v>
      </c>
      <c r="J36" s="200" t="s">
        <v>264</v>
      </c>
      <c r="K36" s="190">
        <v>3140</v>
      </c>
      <c r="L36" s="191" t="s">
        <v>335</v>
      </c>
      <c r="M36" s="184">
        <v>3140</v>
      </c>
      <c r="N36" s="219" t="s">
        <v>264</v>
      </c>
      <c r="O36" s="189" t="s">
        <v>228</v>
      </c>
      <c r="P36" s="15" t="s">
        <v>231</v>
      </c>
      <c r="Q36" s="226">
        <v>3140</v>
      </c>
      <c r="R36" s="197" t="s">
        <v>264</v>
      </c>
      <c r="S36" s="232" t="s">
        <v>228</v>
      </c>
      <c r="T36" s="15" t="s">
        <v>345</v>
      </c>
    </row>
    <row r="37" spans="1:20">
      <c r="A37" s="172" t="s">
        <v>205</v>
      </c>
      <c r="B37" s="178">
        <v>3140</v>
      </c>
      <c r="C37" s="189" t="s">
        <v>228</v>
      </c>
      <c r="D37" s="15" t="s">
        <v>231</v>
      </c>
      <c r="E37" s="183" t="s">
        <v>228</v>
      </c>
      <c r="F37" s="197" t="s">
        <v>231</v>
      </c>
      <c r="G37" s="190">
        <v>3140</v>
      </c>
      <c r="H37" s="191" t="s">
        <v>335</v>
      </c>
      <c r="I37" s="183" t="s">
        <v>228</v>
      </c>
      <c r="J37" s="200" t="s">
        <v>332</v>
      </c>
      <c r="K37" s="190">
        <v>3140</v>
      </c>
      <c r="L37" s="191" t="s">
        <v>335</v>
      </c>
      <c r="M37" s="183" t="s">
        <v>228</v>
      </c>
      <c r="N37" s="219" t="s">
        <v>332</v>
      </c>
      <c r="O37" s="189" t="s">
        <v>228</v>
      </c>
      <c r="P37" s="15" t="s">
        <v>231</v>
      </c>
      <c r="Q37" s="183" t="s">
        <v>228</v>
      </c>
      <c r="R37" s="197" t="s">
        <v>332</v>
      </c>
      <c r="S37" s="232" t="s">
        <v>228</v>
      </c>
      <c r="T37" s="15" t="s">
        <v>345</v>
      </c>
    </row>
    <row r="38" spans="1:20" ht="15.75" thickBot="1">
      <c r="A38" s="174" t="s">
        <v>211</v>
      </c>
      <c r="B38" s="181">
        <v>3142</v>
      </c>
      <c r="C38" s="193">
        <v>3142</v>
      </c>
      <c r="D38" s="194" t="s">
        <v>256</v>
      </c>
      <c r="E38" s="185">
        <v>3142</v>
      </c>
      <c r="F38" s="201" t="s">
        <v>256</v>
      </c>
      <c r="G38" s="193">
        <v>3142</v>
      </c>
      <c r="H38" s="194" t="s">
        <v>256</v>
      </c>
      <c r="I38" s="185">
        <v>3142</v>
      </c>
      <c r="J38" s="201" t="s">
        <v>256</v>
      </c>
      <c r="K38" s="193">
        <v>3142</v>
      </c>
      <c r="L38" s="194" t="s">
        <v>256</v>
      </c>
      <c r="M38" s="185">
        <v>3142</v>
      </c>
      <c r="N38" s="223" t="s">
        <v>256</v>
      </c>
      <c r="O38" s="193">
        <v>3142</v>
      </c>
      <c r="P38" s="194" t="s">
        <v>256</v>
      </c>
      <c r="Q38" s="227">
        <v>3142</v>
      </c>
      <c r="R38" s="201" t="s">
        <v>256</v>
      </c>
      <c r="S38" s="234">
        <v>3142</v>
      </c>
      <c r="T38" s="18" t="s">
        <v>342</v>
      </c>
    </row>
    <row r="40" spans="1:20">
      <c r="A40" s="11" t="s">
        <v>502</v>
      </c>
    </row>
    <row r="41" spans="1:20" ht="15.75" thickBot="1"/>
    <row r="42" spans="1:20" ht="15.75" thickBot="1">
      <c r="A42" s="22" t="s">
        <v>227</v>
      </c>
    </row>
    <row r="43" spans="1:20">
      <c r="A43" s="23" t="s">
        <v>463</v>
      </c>
    </row>
    <row r="44" spans="1:20">
      <c r="A44" s="24" t="s">
        <v>503</v>
      </c>
    </row>
    <row r="45" spans="1:20">
      <c r="A45" s="25" t="s">
        <v>504</v>
      </c>
    </row>
    <row r="46" spans="1:20" ht="15.75" thickBot="1">
      <c r="A46" s="26" t="s">
        <v>346</v>
      </c>
    </row>
    <row r="47" spans="1:20">
      <c r="A47" s="13"/>
      <c r="B47" s="12"/>
    </row>
  </sheetData>
  <mergeCells count="9">
    <mergeCell ref="O2:P2"/>
    <mergeCell ref="Q2:R2"/>
    <mergeCell ref="S2:T2"/>
    <mergeCell ref="C2:D2"/>
    <mergeCell ref="E2:F2"/>
    <mergeCell ref="G2:H2"/>
    <mergeCell ref="I2:J2"/>
    <mergeCell ref="K2:L2"/>
    <mergeCell ref="M2:N2"/>
  </mergeCells>
  <pageMargins left="0" right="0" top="0.39374999999999999" bottom="0.39374999999999999" header="0" footer="0"/>
  <pageSetup paperSize="9" scale="57" firstPageNumber="0" orientation="portrait" r:id="rId1"/>
  <headerFooter>
    <oddHeader>&amp;C&amp;A</oddHeader>
    <oddFooter>&amp;CPage &amp;P&amp;L&amp;1#&amp;"Calibri"&amp;10&amp;K000000Følsomhet Intern (gul)</oddFooter>
  </headerFooter>
  <colBreaks count="1" manualBreakCount="1">
    <brk id="13" min="1" max="40" man="1"/>
  </colBreaks>
  <ignoredErrors>
    <ignoredError sqref="H5 H12 H14:H15 H21:H22 R12:R22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3</vt:i4>
      </vt:variant>
      <vt:variant>
        <vt:lpstr>Navngitte områder</vt:lpstr>
      </vt:variant>
      <vt:variant>
        <vt:i4>1</vt:i4>
      </vt:variant>
    </vt:vector>
  </HeadingPairs>
  <TitlesOfParts>
    <vt:vector size="4" baseType="lpstr">
      <vt:lpstr>Table_S1</vt:lpstr>
      <vt:lpstr>Table_S2</vt:lpstr>
      <vt:lpstr>Table_S3</vt:lpstr>
      <vt:lpstr>Table_S3!Utskriftsområde</vt:lpstr>
    </vt:vector>
  </TitlesOfParts>
  <Company>Helse Vest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Steensen Bjørheim</dc:creator>
  <cp:lastModifiedBy>Anne Vatland Krøvel</cp:lastModifiedBy>
  <dcterms:created xsi:type="dcterms:W3CDTF">2023-02-23T07:33:07Z</dcterms:created>
  <dcterms:modified xsi:type="dcterms:W3CDTF">2023-04-28T11:01:01Z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3ffc1c-ef00-4620-9c2f-7d9c1597774b_Enabled">
    <vt:lpwstr>true</vt:lpwstr>
  </property>
  <property fmtid="{D5CDD505-2E9C-101B-9397-08002B2CF9AE}" pid="3" name="MSIP_Label_0c3ffc1c-ef00-4620-9c2f-7d9c1597774b_SetDate">
    <vt:lpwstr>2023-04-28T11:01:01Z</vt:lpwstr>
  </property>
  <property fmtid="{D5CDD505-2E9C-101B-9397-08002B2CF9AE}" pid="4" name="MSIP_Label_0c3ffc1c-ef00-4620-9c2f-7d9c1597774b_Method">
    <vt:lpwstr>Standard</vt:lpwstr>
  </property>
  <property fmtid="{D5CDD505-2E9C-101B-9397-08002B2CF9AE}" pid="5" name="MSIP_Label_0c3ffc1c-ef00-4620-9c2f-7d9c1597774b_Name">
    <vt:lpwstr>Intern</vt:lpwstr>
  </property>
  <property fmtid="{D5CDD505-2E9C-101B-9397-08002B2CF9AE}" pid="6" name="MSIP_Label_0c3ffc1c-ef00-4620-9c2f-7d9c1597774b_SiteId">
    <vt:lpwstr>bdcbe535-f3cf-49f5-8a6a-fb6d98dc7837</vt:lpwstr>
  </property>
  <property fmtid="{D5CDD505-2E9C-101B-9397-08002B2CF9AE}" pid="7" name="MSIP_Label_0c3ffc1c-ef00-4620-9c2f-7d9c1597774b_ActionId">
    <vt:lpwstr>f65d11c8-5ed1-4024-9081-d84b55cc1e68</vt:lpwstr>
  </property>
  <property fmtid="{D5CDD505-2E9C-101B-9397-08002B2CF9AE}" pid="8" name="MSIP_Label_0c3ffc1c-ef00-4620-9c2f-7d9c1597774b_ContentBits">
    <vt:lpwstr>2</vt:lpwstr>
  </property>
</Properties>
</file>